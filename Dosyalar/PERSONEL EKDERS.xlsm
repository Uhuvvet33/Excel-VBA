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BuÇalışmaKitabı"/>
  <mc:AlternateContent xmlns:mc="http://schemas.openxmlformats.org/markup-compatibility/2006">
    <mc:Choice Requires="x15">
      <x15ac:absPath xmlns:x15ac="http://schemas.microsoft.com/office/spreadsheetml/2010/11/ac" url="D:\Projects-Lesson\Excel-VBA2\"/>
    </mc:Choice>
  </mc:AlternateContent>
  <bookViews>
    <workbookView xWindow="0" yWindow="0" windowWidth="28800" windowHeight="13215" activeTab="4"/>
  </bookViews>
  <sheets>
    <sheet name="EkDers" sheetId="1" r:id="rId1"/>
    <sheet name="Puantaj" sheetId="5" r:id="rId2"/>
    <sheet name="Kodlar" sheetId="3" r:id="rId3"/>
    <sheet name="Ayar" sheetId="4" state="veryHidden" r:id="rId4"/>
    <sheet name="Arsiv" sheetId="6" r:id="rId5"/>
  </sheets>
  <functionGroups builtInGroupCount="18"/>
  <definedNames>
    <definedName name="_xlnm._FilterDatabase" localSheetId="0" hidden="1">EkDers!$A$1:$Q$2</definedName>
    <definedName name="_xlnm.Print_Titles" localSheetId="1">Puantaj!$1:$4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W43" i="1" l="1"/>
  <c r="AW42" i="1"/>
  <c r="AW41" i="1"/>
  <c r="AW40" i="1"/>
  <c r="AW39" i="1"/>
  <c r="AW38" i="1"/>
  <c r="AW37" i="1"/>
  <c r="AW36" i="1"/>
  <c r="AW35" i="1"/>
  <c r="AW34" i="1"/>
  <c r="AW33" i="1"/>
  <c r="AW32" i="1"/>
  <c r="AW31" i="1"/>
  <c r="AW30" i="1"/>
  <c r="AW29" i="1"/>
  <c r="AW28" i="1"/>
  <c r="AW27" i="1"/>
  <c r="AW26" i="1"/>
  <c r="AW25" i="1"/>
  <c r="AW24" i="1"/>
  <c r="AW23" i="1"/>
  <c r="AW22" i="1"/>
  <c r="AW21" i="1"/>
  <c r="AW20" i="1"/>
  <c r="AW19" i="1"/>
  <c r="AW18" i="1"/>
  <c r="AW17" i="1"/>
  <c r="AW16" i="1"/>
  <c r="AW15" i="1"/>
  <c r="AW14" i="1"/>
  <c r="AW13" i="1"/>
  <c r="AW12" i="1"/>
  <c r="AW11" i="1"/>
  <c r="AW10" i="1"/>
  <c r="AW9" i="1"/>
  <c r="AW8" i="1"/>
  <c r="AW7" i="1"/>
  <c r="AW6" i="1"/>
  <c r="AW5" i="1"/>
  <c r="AW4" i="1"/>
  <c r="AW3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Q3" i="1"/>
  <c r="AK9" i="5" l="1"/>
  <c r="A9" i="5"/>
  <c r="A10" i="5"/>
  <c r="R76" i="6" l="1"/>
  <c r="R77" i="6"/>
  <c r="R78" i="6"/>
  <c r="R79" i="6"/>
  <c r="AX79" i="6"/>
  <c r="R75" i="6" l="1"/>
  <c r="AW50" i="6" l="1"/>
  <c r="AW51" i="6"/>
  <c r="AW52" i="6"/>
  <c r="AW53" i="6"/>
  <c r="AW54" i="6"/>
  <c r="AW55" i="6"/>
  <c r="AW56" i="6"/>
  <c r="AW57" i="6"/>
  <c r="AW58" i="6"/>
  <c r="AW59" i="6"/>
  <c r="AW60" i="6"/>
  <c r="AW61" i="6"/>
  <c r="AW62" i="6"/>
  <c r="AW63" i="6"/>
  <c r="AW64" i="6"/>
  <c r="AW65" i="6"/>
  <c r="AW66" i="6"/>
  <c r="AW67" i="6"/>
  <c r="AW68" i="6"/>
  <c r="AW69" i="6"/>
  <c r="AW70" i="6"/>
  <c r="AW71" i="6"/>
  <c r="AW72" i="6"/>
  <c r="AW73" i="6"/>
  <c r="AW74" i="6"/>
  <c r="AX9" i="6"/>
  <c r="AX37" i="6"/>
  <c r="AX38" i="6"/>
  <c r="AX39" i="6"/>
  <c r="AX40" i="6"/>
  <c r="AX41" i="6"/>
  <c r="AX42" i="6"/>
  <c r="AX43" i="6"/>
  <c r="AX44" i="6"/>
  <c r="AX45" i="6"/>
  <c r="AX46" i="6"/>
  <c r="AX10" i="6"/>
  <c r="AX11" i="6"/>
  <c r="AX12" i="6"/>
  <c r="AX13" i="6"/>
  <c r="AX14" i="6"/>
  <c r="AX15" i="6"/>
  <c r="AX16" i="6"/>
  <c r="AX17" i="6"/>
  <c r="AX18" i="6"/>
  <c r="AX19" i="6"/>
  <c r="AX20" i="6"/>
  <c r="AX21" i="6"/>
  <c r="AX22" i="6"/>
  <c r="AX23" i="6"/>
  <c r="AX24" i="6"/>
  <c r="AX25" i="6"/>
  <c r="AX26" i="6"/>
  <c r="AX27" i="6"/>
  <c r="AX28" i="6"/>
  <c r="AX29" i="6"/>
  <c r="AX30" i="6"/>
  <c r="AX31" i="6"/>
  <c r="AX32" i="6"/>
  <c r="AX33" i="6"/>
  <c r="AX34" i="6"/>
  <c r="AX35" i="6"/>
  <c r="AX36" i="6"/>
  <c r="R2" i="6"/>
  <c r="R3" i="6"/>
  <c r="AX76" i="6" s="1"/>
  <c r="R4" i="6"/>
  <c r="R5" i="6"/>
  <c r="AW2" i="6"/>
  <c r="AX8" i="6" l="1"/>
  <c r="AX78" i="6"/>
  <c r="AX7" i="6"/>
  <c r="AX77" i="6"/>
  <c r="AX6" i="6"/>
  <c r="AX75" i="6"/>
  <c r="AW49" i="6"/>
  <c r="AW48" i="6"/>
  <c r="AW47" i="6"/>
  <c r="AW5" i="6"/>
  <c r="AW4" i="6"/>
  <c r="AW3" i="6"/>
</calcChain>
</file>

<file path=xl/sharedStrings.xml><?xml version="1.0" encoding="utf-8"?>
<sst xmlns="http://schemas.openxmlformats.org/spreadsheetml/2006/main" count="445" uniqueCount="80">
  <si>
    <t>TOPLAM</t>
  </si>
  <si>
    <t>Veri Tip</t>
  </si>
  <si>
    <t>Gündüz</t>
  </si>
  <si>
    <t>Veri Açıklama</t>
  </si>
  <si>
    <t>TCKN</t>
  </si>
  <si>
    <t>Adı ve Soyadı</t>
  </si>
  <si>
    <t>+</t>
  </si>
  <si>
    <t>-</t>
  </si>
  <si>
    <t>Çr</t>
  </si>
  <si>
    <t>Pr</t>
  </si>
  <si>
    <t>Cm</t>
  </si>
  <si>
    <t>Pt</t>
  </si>
  <si>
    <t>Sa</t>
  </si>
  <si>
    <t>Ct</t>
  </si>
  <si>
    <t>Pz</t>
  </si>
  <si>
    <t>Egzersiz</t>
  </si>
  <si>
    <t>Veri Tipi</t>
  </si>
  <si>
    <t>Veri Tip Kodu</t>
  </si>
  <si>
    <t>Gece</t>
  </si>
  <si>
    <t>%25 Fazla Gündüz</t>
  </si>
  <si>
    <t>%25 Fazla Gece</t>
  </si>
  <si>
    <t>Belleticilik</t>
  </si>
  <si>
    <t>Sınav Görevi</t>
  </si>
  <si>
    <t>Ekders Yer.Geç.Gör. - Gündüz</t>
  </si>
  <si>
    <t>Ekders Yer.Geç.Gör. - Gece</t>
  </si>
  <si>
    <t>Ekders Yer.Geç.Gör. - %25 Gündüz</t>
  </si>
  <si>
    <t>Ekders Yer.Geç.Gör. - %25 Gece</t>
  </si>
  <si>
    <t>Atış Eğitimi</t>
  </si>
  <si>
    <t>Cezaevleri Eğitim Merkezi - 160*Saat</t>
  </si>
  <si>
    <t>TEK HAFTALIK
ÜCRET TABLOSU</t>
  </si>
  <si>
    <t>GENEL</t>
  </si>
  <si>
    <t>S.N.</t>
  </si>
  <si>
    <t>Ö Ğ R E T M E N İ N</t>
  </si>
  <si>
    <t>ADI SOYADI</t>
  </si>
  <si>
    <t>Aktif</t>
  </si>
  <si>
    <t>Görevi</t>
  </si>
  <si>
    <t>GÖREVİ</t>
  </si>
  <si>
    <t>Pazartesi</t>
  </si>
  <si>
    <t>Salı</t>
  </si>
  <si>
    <t>Çarşamba</t>
  </si>
  <si>
    <t>Perşembe</t>
  </si>
  <si>
    <t>Cuma</t>
  </si>
  <si>
    <t>Cumartesi</t>
  </si>
  <si>
    <t>Pazar</t>
  </si>
  <si>
    <t>GÜNLÜK OKUTULAN DERS SAATLERİ</t>
  </si>
  <si>
    <t>Aylık Ok.</t>
  </si>
  <si>
    <t>Toplam</t>
  </si>
  <si>
    <t>Ders Saati</t>
  </si>
  <si>
    <t>AY</t>
  </si>
  <si>
    <t>YIL</t>
  </si>
  <si>
    <t>DÜZENLEYEN</t>
  </si>
  <si>
    <t>UYGUNDUR</t>
  </si>
  <si>
    <t>EK DERS ÜCRETLERİ ÇİZELGESİ
(KADROLU ÖĞRETMENLER)</t>
  </si>
  <si>
    <t>Saymanlık  Numarası</t>
  </si>
  <si>
    <t>ÜCRET TÜRÜ</t>
  </si>
  <si>
    <t>İlçe / İL</t>
  </si>
  <si>
    <t>Kurumu</t>
  </si>
  <si>
    <t>Nöbet Görevi</t>
  </si>
  <si>
    <t>Belleticilik %25 Fazla</t>
  </si>
  <si>
    <t>Takviye kursu(Haftasonu/Gece)</t>
  </si>
  <si>
    <t>Takviye kursu(Gündüz)</t>
  </si>
  <si>
    <t>Hizmetiçi</t>
  </si>
  <si>
    <t>Brüt Ders Saatleri (Reh./Kulüp Hariç)</t>
  </si>
  <si>
    <t>Tarih</t>
  </si>
  <si>
    <t>ArtıEksi</t>
  </si>
  <si>
    <t>Öğretmen</t>
  </si>
  <si>
    <t>01.09.2017-30.09.2017</t>
  </si>
  <si>
    <t>T.C. KİMLİK NO</t>
  </si>
  <si>
    <t>01.10.2017-31.10.2017</t>
  </si>
  <si>
    <t>01.11.2017-30.11.2017</t>
  </si>
  <si>
    <t>Şube Müdürü</t>
  </si>
  <si>
    <t>KARAMAN İL MİLLİ EĞİTİM MÜDÜRLÜĞÜ</t>
  </si>
  <si>
    <t>MERKEZ/KARAMAN</t>
  </si>
  <si>
    <t>01.12.2018-31.12.2018</t>
  </si>
  <si>
    <t>Şef</t>
  </si>
  <si>
    <t>İz</t>
  </si>
  <si>
    <t>01.03.2019-31.03.2019</t>
  </si>
  <si>
    <t>ARGE Koordinatörü</t>
  </si>
  <si>
    <t>Ağustos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</si>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</sst>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"/>
    <numFmt numFmtId="165" formatCode="dd\ mmmm\ yyyy"/>
    <numFmt numFmtId="166" formatCode="dd/mm/yyyy;@"/>
  </numFmts>
  <fonts count="8" x14ac:knownFonts="1">
    <font>
      <sz val="11"/>
      <color theme="1"/>
      <name val="Calibri"/>
      <family val="2"/>
      <charset val="162"/>
      <scheme val="minor"/>
    </font>
    <font>
      <sz val="10"/>
      <color theme="1"/>
      <name val="Arial Narrow"/>
      <family val="2"/>
      <charset val="162"/>
    </font>
    <font>
      <b/>
      <sz val="10"/>
      <color theme="1"/>
      <name val="Arial Narrow"/>
      <family val="2"/>
      <charset val="162"/>
    </font>
    <font>
      <sz val="10"/>
      <color theme="1"/>
      <name val="Arial Narrow"/>
      <family val="2"/>
      <charset val="162"/>
    </font>
    <font>
      <b/>
      <sz val="10"/>
      <color theme="0"/>
      <name val="Arial Narrow"/>
      <family val="2"/>
      <charset val="162"/>
    </font>
    <font>
      <sz val="10"/>
      <name val="Arial Narrow"/>
      <family val="2"/>
      <charset val="162"/>
    </font>
    <font>
      <sz val="14"/>
      <color theme="1"/>
      <name val="Arial Narrow"/>
      <family val="2"/>
      <charset val="162"/>
    </font>
    <font>
      <b/>
      <sz val="11"/>
      <color theme="1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0" borderId="0" xfId="0" applyFont="1" applyBorder="1" applyAlignment="1">
      <alignment horizontal="center"/>
    </xf>
    <xf numFmtId="0" fontId="1" fillId="0" borderId="0" xfId="0" applyFont="1" applyBorder="1"/>
    <xf numFmtId="0" fontId="0" fillId="0" borderId="0" xfId="0" applyAlignment="1"/>
    <xf numFmtId="0" fontId="1" fillId="0" borderId="0" xfId="0" applyFont="1" applyBorder="1" applyAlignment="1">
      <alignment shrinkToFit="1"/>
    </xf>
    <xf numFmtId="0" fontId="4" fillId="2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1" xfId="0" applyFont="1" applyFill="1" applyBorder="1"/>
    <xf numFmtId="0" fontId="3" fillId="0" borderId="1" xfId="0" applyFont="1" applyFill="1" applyBorder="1" applyAlignment="1">
      <alignment horizontal="center"/>
    </xf>
    <xf numFmtId="14" fontId="0" fillId="0" borderId="0" xfId="0" applyNumberFormat="1"/>
    <xf numFmtId="0" fontId="1" fillId="0" borderId="0" xfId="0" applyFont="1" applyFill="1" applyAlignment="1">
      <alignment vertical="center"/>
    </xf>
    <xf numFmtId="0" fontId="1" fillId="0" borderId="1" xfId="0" applyNumberFormat="1" applyFont="1" applyFill="1" applyBorder="1" applyAlignment="1">
      <alignment horizontal="center"/>
    </xf>
    <xf numFmtId="0" fontId="4" fillId="2" borderId="1" xfId="0" applyNumberFormat="1" applyFont="1" applyFill="1" applyBorder="1" applyAlignment="1">
      <alignment horizontal="center" wrapText="1"/>
    </xf>
    <xf numFmtId="0" fontId="3" fillId="0" borderId="1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1" xfId="0" quotePrefix="1" applyNumberFormat="1" applyFont="1" applyFill="1" applyBorder="1" applyAlignment="1">
      <alignment horizontal="center"/>
    </xf>
    <xf numFmtId="164" fontId="2" fillId="0" borderId="6" xfId="0" applyNumberFormat="1" applyFont="1" applyFill="1" applyBorder="1" applyAlignment="1">
      <alignment horizontal="center" vertical="center"/>
    </xf>
    <xf numFmtId="0" fontId="1" fillId="0" borderId="6" xfId="0" applyFont="1" applyFill="1" applyBorder="1" applyAlignment="1">
      <alignment vertical="center"/>
    </xf>
    <xf numFmtId="0" fontId="1" fillId="0" borderId="6" xfId="0" applyFont="1" applyFill="1" applyBorder="1" applyAlignment="1">
      <alignment vertical="center" shrinkToFit="1"/>
    </xf>
    <xf numFmtId="164" fontId="1" fillId="0" borderId="6" xfId="0" applyNumberFormat="1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/>
    </xf>
    <xf numFmtId="0" fontId="2" fillId="0" borderId="6" xfId="0" applyFont="1" applyBorder="1" applyAlignment="1">
      <alignment horizontal="center" wrapText="1"/>
    </xf>
    <xf numFmtId="0" fontId="2" fillId="0" borderId="6" xfId="0" applyFont="1" applyBorder="1" applyAlignment="1">
      <alignment horizontal="center"/>
    </xf>
    <xf numFmtId="0" fontId="2" fillId="0" borderId="6" xfId="0" applyFont="1" applyBorder="1" applyAlignment="1">
      <alignment horizontal="center" shrinkToFit="1"/>
    </xf>
    <xf numFmtId="165" fontId="1" fillId="0" borderId="6" xfId="0" applyNumberFormat="1" applyFont="1" applyBorder="1" applyAlignment="1">
      <alignment horizontal="center" textRotation="90"/>
    </xf>
    <xf numFmtId="14" fontId="2" fillId="0" borderId="6" xfId="0" applyNumberFormat="1" applyFont="1" applyFill="1" applyBorder="1" applyAlignment="1">
      <alignment horizontal="center" vertical="center"/>
    </xf>
    <xf numFmtId="14" fontId="2" fillId="0" borderId="6" xfId="0" applyNumberFormat="1" applyFont="1" applyFill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 shrinkToFit="1"/>
    </xf>
    <xf numFmtId="0" fontId="4" fillId="2" borderId="6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 textRotation="90"/>
    </xf>
    <xf numFmtId="0" fontId="2" fillId="0" borderId="6" xfId="0" applyFont="1" applyBorder="1" applyAlignment="1">
      <alignment horizontal="center" vertical="top"/>
    </xf>
    <xf numFmtId="0" fontId="1" fillId="0" borderId="6" xfId="0" applyFont="1" applyBorder="1"/>
    <xf numFmtId="0" fontId="7" fillId="0" borderId="0" xfId="0" applyFont="1" applyAlignment="1">
      <alignment horizontal="center"/>
    </xf>
    <xf numFmtId="3" fontId="1" fillId="0" borderId="6" xfId="0" applyNumberFormat="1" applyFont="1" applyFill="1" applyBorder="1" applyAlignment="1">
      <alignment vertical="center"/>
    </xf>
    <xf numFmtId="3" fontId="2" fillId="0" borderId="6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166" fontId="1" fillId="0" borderId="0" xfId="0" applyNumberFormat="1" applyFont="1" applyFill="1" applyAlignment="1">
      <alignment horizontal="center" vertical="center"/>
    </xf>
    <xf numFmtId="0" fontId="5" fillId="0" borderId="6" xfId="0" applyFont="1" applyFill="1" applyBorder="1" applyAlignment="1" applyProtection="1">
      <alignment horizontal="center" vertical="center" shrinkToFit="1"/>
      <protection hidden="1"/>
    </xf>
    <xf numFmtId="0" fontId="1" fillId="0" borderId="6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top" wrapText="1"/>
    </xf>
    <xf numFmtId="0" fontId="4" fillId="2" borderId="6" xfId="0" applyFont="1" applyFill="1" applyBorder="1" applyAlignment="1">
      <alignment horizontal="center" vertical="top"/>
    </xf>
    <xf numFmtId="0" fontId="2" fillId="0" borderId="2" xfId="0" applyFont="1" applyFill="1" applyBorder="1" applyAlignment="1">
      <alignment horizontal="right" vertical="center"/>
    </xf>
    <xf numFmtId="0" fontId="1" fillId="0" borderId="3" xfId="0" applyFont="1" applyFill="1" applyBorder="1" applyAlignment="1">
      <alignment horizontal="right" vertical="center"/>
    </xf>
    <xf numFmtId="0" fontId="1" fillId="0" borderId="5" xfId="0" applyFont="1" applyFill="1" applyBorder="1" applyAlignment="1">
      <alignment horizontal="right" vertical="center"/>
    </xf>
    <xf numFmtId="0" fontId="2" fillId="0" borderId="2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166" fontId="1" fillId="0" borderId="0" xfId="0" applyNumberFormat="1" applyFont="1" applyFill="1" applyAlignment="1">
      <alignment horizontal="center" vertical="center"/>
    </xf>
    <xf numFmtId="0" fontId="5" fillId="0" borderId="6" xfId="0" applyFont="1" applyFill="1" applyBorder="1" applyAlignment="1" applyProtection="1">
      <alignment horizontal="center" vertical="center" shrinkToFit="1"/>
      <protection hidden="1"/>
    </xf>
    <xf numFmtId="0" fontId="5" fillId="0" borderId="6" xfId="0" applyFont="1" applyFill="1" applyBorder="1" applyAlignment="1" applyProtection="1">
      <alignment horizontal="left" vertical="center" indent="1" shrinkToFit="1"/>
      <protection hidden="1"/>
    </xf>
    <xf numFmtId="0" fontId="6" fillId="0" borderId="6" xfId="0" applyFont="1" applyFill="1" applyBorder="1" applyAlignment="1">
      <alignment horizontal="center" vertical="center" wrapText="1"/>
    </xf>
    <xf numFmtId="0" fontId="1" fillId="0" borderId="6" xfId="0" applyFont="1" applyBorder="1" applyAlignment="1">
      <alignment horizontal="center"/>
    </xf>
    <xf numFmtId="0" fontId="1" fillId="0" borderId="6" xfId="0" applyFont="1" applyBorder="1" applyAlignment="1">
      <alignment shrinkToFit="1"/>
    </xf>
    <xf numFmtId="0" fontId="2" fillId="0" borderId="6" xfId="0" applyFont="1" applyBorder="1"/>
  </cellXfs>
  <cellStyles count="1">
    <cellStyle name="Normal" xfId="0" builtinId="0"/>
  </cellStyles>
  <dxfs count="8">
    <dxf>
      <fill>
        <patternFill>
          <bgColor rgb="FFFF0000"/>
        </patternFill>
      </fill>
    </dxf>
    <dxf>
      <fill>
        <patternFill>
          <bgColor indexed="2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indexed="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57149</xdr:colOff>
      <xdr:row>0</xdr:row>
      <xdr:rowOff>377825</xdr:rowOff>
    </xdr:from>
    <xdr:to>
      <xdr:col>16</xdr:col>
      <xdr:colOff>219075</xdr:colOff>
      <xdr:row>0</xdr:row>
      <xdr:rowOff>644525</xdr:rowOff>
    </xdr:to>
    <xdr:sp macro="[0]!haftalikDersleriDagit" textlink="">
      <xdr:nvSpPr>
        <xdr:cNvPr id="5" name="Yuvarlatılmış Dikdörtgen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5591174" y="377825"/>
          <a:ext cx="1295401" cy="2667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lIns="0" rIns="0" rtlCol="0" anchor="t"/>
        <a:lstStyle/>
        <a:p>
          <a:pPr algn="ctr"/>
          <a:r>
            <a:rPr lang="tr-TR" sz="1000" b="0">
              <a:solidFill>
                <a:sysClr val="windowText" lastClr="000000"/>
              </a:solidFill>
              <a:latin typeface="Arial Narrow" panose="020B0606020202030204" pitchFamily="34" charset="0"/>
            </a:rPr>
            <a:t>Haftalık Dersleri</a:t>
          </a:r>
          <a:r>
            <a:rPr lang="tr-TR" sz="1000" b="0" baseline="0">
              <a:solidFill>
                <a:sysClr val="windowText" lastClr="000000"/>
              </a:solidFill>
              <a:latin typeface="Arial Narrow" panose="020B0606020202030204" pitchFamily="34" charset="0"/>
            </a:rPr>
            <a:t> Aya </a:t>
          </a:r>
          <a:r>
            <a:rPr lang="tr-TR" sz="1000" b="0">
              <a:solidFill>
                <a:sysClr val="windowText" lastClr="000000"/>
              </a:solidFill>
              <a:latin typeface="Arial Narrow" panose="020B0606020202030204" pitchFamily="34" charset="0"/>
            </a:rPr>
            <a:t>Dağıt</a:t>
          </a:r>
        </a:p>
      </xdr:txBody>
    </xdr:sp>
    <xdr:clientData fPrintsWithSheet="0"/>
  </xdr:twoCellAnchor>
  <xdr:twoCellAnchor>
    <xdr:from>
      <xdr:col>0</xdr:col>
      <xdr:colOff>0</xdr:colOff>
      <xdr:row>0</xdr:row>
      <xdr:rowOff>1</xdr:rowOff>
    </xdr:from>
    <xdr:to>
      <xdr:col>9</xdr:col>
      <xdr:colOff>2240</xdr:colOff>
      <xdr:row>1</xdr:row>
      <xdr:rowOff>1</xdr:rowOff>
    </xdr:to>
    <xdr:grpSp>
      <xdr:nvGrpSpPr>
        <xdr:cNvPr id="12" name="Grup 11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0" y="1"/>
          <a:ext cx="5641040" cy="838200"/>
          <a:chOff x="0" y="0"/>
          <a:chExt cx="5536265" cy="722779"/>
        </a:xfrm>
      </xdr:grpSpPr>
      <xdr:sp macro="" textlink="">
        <xdr:nvSpPr>
          <xdr:cNvPr id="3" name="Dikdörtgen 2">
            <a:extLst>
              <a:ext uri="{FF2B5EF4-FFF2-40B4-BE49-F238E27FC236}">
                <a16:creationId xmlns=""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0" y="0"/>
            <a:ext cx="5536265" cy="722779"/>
          </a:xfrm>
          <a:prstGeom prst="rect">
            <a:avLst/>
          </a:prstGeom>
          <a:ln>
            <a:noFill/>
          </a:ln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[0]!Takvim" textlink="">
        <xdr:nvSpPr>
          <xdr:cNvPr id="2" name="Yuvarlatılmış Dikdörtgen 1">
            <a:extLst>
              <a:ext uri="{FF2B5EF4-FFF2-40B4-BE49-F238E27FC236}">
                <a16:creationId xmlns=""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1651766" y="44450"/>
            <a:ext cx="1507632" cy="266700"/>
          </a:xfrm>
          <a:prstGeom prst="round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tIns="72000" rtlCol="0" anchor="t"/>
          <a:lstStyle/>
          <a:p>
            <a:pPr algn="ctr"/>
            <a:r>
              <a:rPr lang="tr-TR" sz="1000" b="0">
                <a:latin typeface="Arial Narrow" panose="020B0606020202030204" pitchFamily="34" charset="0"/>
              </a:rPr>
              <a:t>Takvimi</a:t>
            </a:r>
            <a:r>
              <a:rPr lang="tr-TR" sz="1000" b="0" baseline="0">
                <a:latin typeface="Arial Narrow" panose="020B0606020202030204" pitchFamily="34" charset="0"/>
              </a:rPr>
              <a:t> Görüntüle / Değiştir</a:t>
            </a:r>
            <a:endParaRPr lang="tr-TR" sz="1000" b="0">
              <a:latin typeface="Arial Narrow" panose="020B0606020202030204" pitchFamily="34" charset="0"/>
            </a:endParaRPr>
          </a:p>
        </xdr:txBody>
      </xdr:sp>
      <xdr:sp macro="[0]!Aktar" textlink="">
        <xdr:nvSpPr>
          <xdr:cNvPr id="6" name="Yuvarlatılmış Dikdörtgen 5">
            <a:extLst>
              <a:ext uri="{FF2B5EF4-FFF2-40B4-BE49-F238E27FC236}">
                <a16:creationId xmlns=""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75803" y="377825"/>
            <a:ext cx="1507632" cy="266700"/>
          </a:xfrm>
          <a:prstGeom prst="roundRect">
            <a:avLst/>
          </a:prstGeom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tIns="72000" rtlCol="0" anchor="t"/>
          <a:lstStyle/>
          <a:p>
            <a:pPr algn="ctr"/>
            <a:r>
              <a:rPr lang="tr-TR" sz="1000" b="0">
                <a:latin typeface="Arial Narrow" panose="020B0606020202030204" pitchFamily="34" charset="0"/>
              </a:rPr>
              <a:t>&gt;&gt;  </a:t>
            </a:r>
            <a:r>
              <a:rPr lang="tr-TR" sz="1000" b="1">
                <a:latin typeface="Arial Narrow" panose="020B0606020202030204" pitchFamily="34" charset="0"/>
              </a:rPr>
              <a:t>KBS</a:t>
            </a:r>
            <a:r>
              <a:rPr lang="tr-TR" sz="1000" b="0">
                <a:latin typeface="Arial Narrow" panose="020B0606020202030204" pitchFamily="34" charset="0"/>
              </a:rPr>
              <a:t> Dosyası Oluştur</a:t>
            </a:r>
          </a:p>
        </xdr:txBody>
      </xdr:sp>
      <xdr:sp macro="[0]!tumunuSil" textlink="">
        <xdr:nvSpPr>
          <xdr:cNvPr id="4" name="Yuvarlatılmış Dikdörtgen 3">
            <a:extLst>
              <a:ext uri="{FF2B5EF4-FFF2-40B4-BE49-F238E27FC236}">
                <a16:creationId xmlns=""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75802" y="47625"/>
            <a:ext cx="1507632" cy="263525"/>
          </a:xfrm>
          <a:prstGeom prst="roundRect">
            <a:avLst/>
          </a:prstGeom>
          <a:solidFill>
            <a:srgbClr val="FF0000"/>
          </a:soli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tIns="72000" rtlCol="0" anchor="t"/>
          <a:lstStyle/>
          <a:p>
            <a:pPr algn="ctr"/>
            <a:r>
              <a:rPr lang="tr-TR" sz="1000" b="1">
                <a:latin typeface="Arial Narrow" panose="020B0606020202030204" pitchFamily="34" charset="0"/>
              </a:rPr>
              <a:t>X</a:t>
            </a:r>
            <a:r>
              <a:rPr lang="tr-TR" sz="1000" b="0">
                <a:latin typeface="Arial Narrow" panose="020B0606020202030204" pitchFamily="34" charset="0"/>
              </a:rPr>
              <a:t>   Tüm</a:t>
            </a:r>
            <a:r>
              <a:rPr lang="tr-TR" sz="1000" b="0" baseline="0">
                <a:latin typeface="Arial Narrow" panose="020B0606020202030204" pitchFamily="34" charset="0"/>
              </a:rPr>
              <a:t> Kişileri </a:t>
            </a:r>
            <a:r>
              <a:rPr lang="tr-TR" sz="1000" b="1" baseline="0">
                <a:latin typeface="Arial Narrow" panose="020B0606020202030204" pitchFamily="34" charset="0"/>
              </a:rPr>
              <a:t>SİL</a:t>
            </a:r>
            <a:endParaRPr lang="tr-TR" sz="1000" b="1">
              <a:latin typeface="Arial Narrow" panose="020B0606020202030204" pitchFamily="34" charset="0"/>
            </a:endParaRPr>
          </a:p>
        </xdr:txBody>
      </xdr:sp>
      <xdr:sp macro="[0]!aciklamaGoster" textlink="">
        <xdr:nvSpPr>
          <xdr:cNvPr id="8" name="Yuvarlatılmış Dikdörtgen 7">
            <a:extLst>
              <a:ext uri="{FF2B5EF4-FFF2-40B4-BE49-F238E27FC236}">
                <a16:creationId xmlns=""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237255" y="44451"/>
            <a:ext cx="1506195" cy="266400"/>
          </a:xfrm>
          <a:prstGeom prst="roundRect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lIns="90000" tIns="72000" rIns="90000" bIns="46800" rtlCol="0" anchor="ctr" anchorCtr="0"/>
          <a:lstStyle/>
          <a:p>
            <a:pPr algn="ctr"/>
            <a:r>
              <a:rPr lang="tr-TR" sz="1000" b="0">
                <a:solidFill>
                  <a:schemeClr val="bg1"/>
                </a:solidFill>
                <a:latin typeface="Arial Narrow" panose="020B0606020202030204" pitchFamily="34" charset="0"/>
              </a:rPr>
              <a:t>AÇIKLAMA</a:t>
            </a:r>
          </a:p>
        </xdr:txBody>
      </xdr:sp>
      <xdr:sp macro="[0]!bilgiGirisi" textlink="">
        <xdr:nvSpPr>
          <xdr:cNvPr id="7" name="Yuvarlatılmış Dikdörtgen 7">
            <a:extLst>
              <a:ext uri="{FF2B5EF4-FFF2-40B4-BE49-F238E27FC236}">
                <a16:creationId xmlns=""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1651766" y="377825"/>
            <a:ext cx="1506195" cy="266400"/>
          </a:xfrm>
          <a:prstGeom prst="roundRect">
            <a:avLst/>
          </a:prstGeom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tIns="72000" rtlCol="0" anchor="t"/>
          <a:lstStyle/>
          <a:p>
            <a:pPr algn="ctr"/>
            <a:r>
              <a:rPr lang="tr-TR" sz="1000" b="0">
                <a:solidFill>
                  <a:schemeClr val="bg1"/>
                </a:solidFill>
                <a:latin typeface="Arial Narrow" panose="020B0606020202030204" pitchFamily="34" charset="0"/>
              </a:rPr>
              <a:t>Okul / Kurum Bilgi Girişi</a:t>
            </a:r>
          </a:p>
        </xdr:txBody>
      </xdr:sp>
      <xdr:sp macro="[0]!kisileriSec" textlink="">
        <xdr:nvSpPr>
          <xdr:cNvPr id="9" name="Yuvarlatılmış Dikdörtgen 7">
            <a:extLst>
              <a:ext uri="{FF2B5EF4-FFF2-40B4-BE49-F238E27FC236}">
                <a16:creationId xmlns=""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3237255" y="377825"/>
            <a:ext cx="1506195" cy="266400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tIns="72000" rtlCol="0" anchor="t"/>
          <a:lstStyle/>
          <a:p>
            <a:pPr algn="ctr"/>
            <a:r>
              <a:rPr lang="tr-TR" sz="1000" b="0">
                <a:solidFill>
                  <a:schemeClr val="bg1"/>
                </a:solidFill>
                <a:latin typeface="Arial Narrow" panose="020B0606020202030204" pitchFamily="34" charset="0"/>
              </a:rPr>
              <a:t>KİŞİLERİ SEÇ / BIRAK</a:t>
            </a:r>
          </a:p>
        </xdr:txBody>
      </xdr:sp>
      <xdr:sp macro="[0]!arsivAc" textlink="">
        <xdr:nvSpPr>
          <xdr:cNvPr id="11" name="Yuvarlatılmış Dikdörtgen 10">
            <a:extLst>
              <a:ext uri="{FF2B5EF4-FFF2-40B4-BE49-F238E27FC236}">
                <a16:creationId xmlns=""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800600" y="44451"/>
            <a:ext cx="657225" cy="619125"/>
          </a:xfrm>
          <a:prstGeom prst="roundRect">
            <a:avLst/>
          </a:prstGeom>
          <a:solidFill>
            <a:schemeClr val="accent5">
              <a:lumMod val="75000"/>
            </a:schemeClr>
          </a:solidFill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lIns="90000" rIns="90000" bIns="46800" rtlCol="0" anchor="ctr" anchorCtr="0"/>
          <a:lstStyle/>
          <a:p>
            <a:pPr algn="ctr"/>
            <a:r>
              <a:rPr lang="tr-TR" sz="1000" b="0">
                <a:solidFill>
                  <a:schemeClr val="bg1"/>
                </a:solidFill>
                <a:latin typeface="Arial Narrow" panose="020B0606020202030204" pitchFamily="34" charset="0"/>
              </a:rPr>
              <a:t>ARŞİV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76200</xdr:colOff>
      <xdr:row>0</xdr:row>
      <xdr:rowOff>57150</xdr:rowOff>
    </xdr:from>
    <xdr:to>
      <xdr:col>10</xdr:col>
      <xdr:colOff>85725</xdr:colOff>
      <xdr:row>1</xdr:row>
      <xdr:rowOff>161925</xdr:rowOff>
    </xdr:to>
    <xdr:sp macro="[0]!Sayfa2.puantajOlustur" textlink="">
      <xdr:nvSpPr>
        <xdr:cNvPr id="2" name="Yuvarlatılmış Dikdörtgen 7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4286250" y="57150"/>
          <a:ext cx="914400" cy="33337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tIns="0" bIns="72000" rtlCol="0" anchor="ctr" anchorCtr="0"/>
        <a:lstStyle/>
        <a:p>
          <a:pPr algn="ctr"/>
          <a:endParaRPr lang="tr-TR" sz="400" b="1">
            <a:solidFill>
              <a:schemeClr val="bg1"/>
            </a:solidFill>
            <a:latin typeface="Arial Narrow" panose="020B0606020202030204" pitchFamily="34" charset="0"/>
          </a:endParaRPr>
        </a:p>
        <a:p>
          <a:pPr algn="ctr"/>
          <a:r>
            <a:rPr lang="tr-TR" sz="1000" b="1">
              <a:solidFill>
                <a:schemeClr val="bg1"/>
              </a:solidFill>
              <a:latin typeface="Arial Narrow" panose="020B0606020202030204" pitchFamily="34" charset="0"/>
            </a:rPr>
            <a:t>Yenile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AW43"/>
  <sheetViews>
    <sheetView showGridLines="0" workbookViewId="0">
      <pane xSplit="9" ySplit="2" topLeftCell="J3" activePane="bottomRight" state="frozen"/>
      <selection pane="topRight" activeCell="G1" sqref="G1"/>
      <selection pane="bottomLeft" activeCell="A3" sqref="A3"/>
      <selection pane="bottomRight" activeCell="Y4" sqref="Y4"/>
    </sheetView>
  </sheetViews>
  <sheetFormatPr defaultRowHeight="12.75" x14ac:dyDescent="0.2"/>
  <cols>
    <col min="1" max="1" width="3.7109375" style="1" customWidth="1"/>
    <col min="2" max="2" width="13.5703125" style="1" hidden="1" customWidth="1"/>
    <col min="3" max="3" width="8.7109375" style="1" customWidth="1"/>
    <col min="4" max="4" width="18.7109375" style="2" customWidth="1"/>
    <col min="5" max="5" width="14.5703125" style="2" customWidth="1"/>
    <col min="6" max="6" width="12" style="2" bestFit="1" customWidth="1"/>
    <col min="7" max="7" width="1.85546875" style="1" bestFit="1" customWidth="1"/>
    <col min="8" max="8" width="6.28515625" style="1" bestFit="1" customWidth="1"/>
    <col min="9" max="9" width="18.7109375" style="4" customWidth="1"/>
    <col min="10" max="16" width="2.42578125" style="4" customWidth="1"/>
    <col min="17" max="17" width="3.7109375" style="4" customWidth="1"/>
    <col min="18" max="48" width="2.42578125" style="2" customWidth="1"/>
    <col min="49" max="49" width="7.28515625" style="2" bestFit="1" customWidth="1"/>
    <col min="50" max="16384" width="9.140625" style="2"/>
  </cols>
  <sheetData>
    <row r="1" spans="1:49" ht="66" customHeight="1" x14ac:dyDescent="0.2">
      <c r="A1" s="20"/>
      <c r="B1" s="20"/>
      <c r="C1" s="20"/>
      <c r="D1" s="21"/>
      <c r="E1" s="21"/>
      <c r="F1" s="22"/>
      <c r="G1" s="22"/>
      <c r="H1" s="22"/>
      <c r="I1" s="23"/>
      <c r="J1" s="42" t="s">
        <v>29</v>
      </c>
      <c r="K1" s="43"/>
      <c r="L1" s="43"/>
      <c r="M1" s="43"/>
      <c r="N1" s="43"/>
      <c r="O1" s="43"/>
      <c r="P1" s="43"/>
      <c r="Q1" s="43"/>
      <c r="R1" s="24">
        <v>43009</v>
      </c>
      <c r="S1" s="24">
        <v>43010</v>
      </c>
      <c r="T1" s="24">
        <v>43011</v>
      </c>
      <c r="U1" s="24">
        <v>43012</v>
      </c>
      <c r="V1" s="24">
        <v>43013</v>
      </c>
      <c r="W1" s="24">
        <v>43014</v>
      </c>
      <c r="X1" s="24">
        <v>43015</v>
      </c>
      <c r="Y1" s="24">
        <v>43016</v>
      </c>
      <c r="Z1" s="24">
        <v>43017</v>
      </c>
      <c r="AA1" s="24">
        <v>43018</v>
      </c>
      <c r="AB1" s="24">
        <v>43019</v>
      </c>
      <c r="AC1" s="24">
        <v>43020</v>
      </c>
      <c r="AD1" s="24">
        <v>43021</v>
      </c>
      <c r="AE1" s="24">
        <v>43022</v>
      </c>
      <c r="AF1" s="24">
        <v>43023</v>
      </c>
      <c r="AG1" s="24">
        <v>43024</v>
      </c>
      <c r="AH1" s="24">
        <v>43025</v>
      </c>
      <c r="AI1" s="24">
        <v>43026</v>
      </c>
      <c r="AJ1" s="24">
        <v>43027</v>
      </c>
      <c r="AK1" s="24">
        <v>43028</v>
      </c>
      <c r="AL1" s="24">
        <v>43029</v>
      </c>
      <c r="AM1" s="24">
        <v>43030</v>
      </c>
      <c r="AN1" s="24">
        <v>43031</v>
      </c>
      <c r="AO1" s="24">
        <v>43032</v>
      </c>
      <c r="AP1" s="24">
        <v>43033</v>
      </c>
      <c r="AQ1" s="24">
        <v>43034</v>
      </c>
      <c r="AR1" s="24">
        <v>43035</v>
      </c>
      <c r="AS1" s="24">
        <v>43036</v>
      </c>
      <c r="AT1" s="24">
        <v>43037</v>
      </c>
      <c r="AU1" s="24">
        <v>43038</v>
      </c>
      <c r="AV1" s="24">
        <v>43039</v>
      </c>
      <c r="AW1" s="22" t="s">
        <v>30</v>
      </c>
    </row>
    <row r="2" spans="1:49" ht="42" x14ac:dyDescent="0.2">
      <c r="A2" s="25" t="s">
        <v>31</v>
      </c>
      <c r="B2" s="25" t="s">
        <v>34</v>
      </c>
      <c r="C2" s="26" t="s">
        <v>53</v>
      </c>
      <c r="D2" s="27" t="s">
        <v>5</v>
      </c>
      <c r="E2" s="27" t="s">
        <v>35</v>
      </c>
      <c r="F2" s="28" t="s">
        <v>4</v>
      </c>
      <c r="G2" s="28"/>
      <c r="H2" s="28" t="s">
        <v>1</v>
      </c>
      <c r="I2" s="29" t="s">
        <v>3</v>
      </c>
      <c r="J2" s="30" t="s">
        <v>11</v>
      </c>
      <c r="K2" s="30" t="s">
        <v>12</v>
      </c>
      <c r="L2" s="30" t="s">
        <v>8</v>
      </c>
      <c r="M2" s="30" t="s">
        <v>9</v>
      </c>
      <c r="N2" s="30" t="s">
        <v>10</v>
      </c>
      <c r="O2" s="30" t="s">
        <v>13</v>
      </c>
      <c r="P2" s="30" t="s">
        <v>14</v>
      </c>
      <c r="Q2" s="31" t="s">
        <v>0</v>
      </c>
      <c r="R2" s="24" t="s">
        <v>43</v>
      </c>
      <c r="S2" s="24" t="s">
        <v>37</v>
      </c>
      <c r="T2" s="24" t="s">
        <v>38</v>
      </c>
      <c r="U2" s="24" t="s">
        <v>39</v>
      </c>
      <c r="V2" s="24" t="s">
        <v>40</v>
      </c>
      <c r="W2" s="24" t="s">
        <v>41</v>
      </c>
      <c r="X2" s="24" t="s">
        <v>42</v>
      </c>
      <c r="Y2" s="24" t="s">
        <v>43</v>
      </c>
      <c r="Z2" s="24" t="s">
        <v>37</v>
      </c>
      <c r="AA2" s="24" t="s">
        <v>38</v>
      </c>
      <c r="AB2" s="24" t="s">
        <v>39</v>
      </c>
      <c r="AC2" s="24" t="s">
        <v>40</v>
      </c>
      <c r="AD2" s="24" t="s">
        <v>41</v>
      </c>
      <c r="AE2" s="24" t="s">
        <v>42</v>
      </c>
      <c r="AF2" s="24" t="s">
        <v>43</v>
      </c>
      <c r="AG2" s="24" t="s">
        <v>37</v>
      </c>
      <c r="AH2" s="24" t="s">
        <v>38</v>
      </c>
      <c r="AI2" s="24" t="s">
        <v>39</v>
      </c>
      <c r="AJ2" s="24" t="s">
        <v>40</v>
      </c>
      <c r="AK2" s="24" t="s">
        <v>41</v>
      </c>
      <c r="AL2" s="24" t="s">
        <v>42</v>
      </c>
      <c r="AM2" s="24" t="s">
        <v>43</v>
      </c>
      <c r="AN2" s="24" t="s">
        <v>37</v>
      </c>
      <c r="AO2" s="24" t="s">
        <v>38</v>
      </c>
      <c r="AP2" s="24" t="s">
        <v>39</v>
      </c>
      <c r="AQ2" s="24" t="s">
        <v>40</v>
      </c>
      <c r="AR2" s="24" t="s">
        <v>41</v>
      </c>
      <c r="AS2" s="24" t="s">
        <v>42</v>
      </c>
      <c r="AT2" s="24" t="s">
        <v>43</v>
      </c>
      <c r="AU2" s="24" t="s">
        <v>37</v>
      </c>
      <c r="AV2" s="24" t="s">
        <v>38</v>
      </c>
      <c r="AW2" s="32" t="s">
        <v>0</v>
      </c>
    </row>
    <row r="3" spans="1:49" x14ac:dyDescent="0.2">
      <c r="A3" s="58">
        <v>1</v>
      </c>
      <c r="B3" s="58" t="b">
        <v>1</v>
      </c>
      <c r="C3" s="58"/>
      <c r="D3" s="33"/>
      <c r="E3" s="33"/>
      <c r="F3" s="33"/>
      <c r="G3" s="58" t="s">
        <v>6</v>
      </c>
      <c r="H3" s="58">
        <v>101</v>
      </c>
      <c r="I3" s="59" t="s">
        <v>2</v>
      </c>
      <c r="J3" s="59"/>
      <c r="K3" s="59"/>
      <c r="L3" s="59"/>
      <c r="M3" s="59"/>
      <c r="N3" s="59"/>
      <c r="O3" s="59"/>
      <c r="P3" s="59"/>
      <c r="Q3" s="59">
        <f>SUM(J3:P3)</f>
        <v>0</v>
      </c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60">
        <f>SUM(R3:AV3)</f>
        <v>0</v>
      </c>
    </row>
    <row r="4" spans="1:49" x14ac:dyDescent="0.2">
      <c r="A4" s="58"/>
      <c r="B4" s="58"/>
      <c r="C4" s="58"/>
      <c r="D4" s="33"/>
      <c r="E4" s="33"/>
      <c r="F4" s="33"/>
      <c r="G4" s="58" t="s">
        <v>7</v>
      </c>
      <c r="H4" s="58">
        <v>117</v>
      </c>
      <c r="I4" s="59" t="s">
        <v>59</v>
      </c>
      <c r="J4" s="59"/>
      <c r="K4" s="59"/>
      <c r="L4" s="59"/>
      <c r="M4" s="59"/>
      <c r="N4" s="59"/>
      <c r="O4" s="59"/>
      <c r="P4" s="59"/>
      <c r="Q4" s="59">
        <f>SUM(J4:P4)</f>
        <v>0</v>
      </c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  <c r="AW4" s="60">
        <f>SUM(R4:AV4)</f>
        <v>0</v>
      </c>
    </row>
    <row r="5" spans="1:49" x14ac:dyDescent="0.2">
      <c r="A5" s="58">
        <v>2</v>
      </c>
      <c r="B5" s="58" t="b">
        <v>1</v>
      </c>
      <c r="C5" s="58"/>
      <c r="D5" s="33"/>
      <c r="E5" s="33"/>
      <c r="F5" s="33"/>
      <c r="G5" s="58" t="s">
        <v>6</v>
      </c>
      <c r="H5" s="58">
        <v>101</v>
      </c>
      <c r="I5" s="59" t="s">
        <v>2</v>
      </c>
      <c r="J5" s="59"/>
      <c r="K5" s="59"/>
      <c r="L5" s="59"/>
      <c r="M5" s="59"/>
      <c r="N5" s="59"/>
      <c r="O5" s="59"/>
      <c r="P5" s="59"/>
      <c r="Q5" s="59">
        <f>SUM(J5:P5)</f>
        <v>0</v>
      </c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60">
        <f>SUM(R5:AV5)</f>
        <v>0</v>
      </c>
    </row>
    <row r="6" spans="1:49" x14ac:dyDescent="0.2">
      <c r="A6" s="58"/>
      <c r="B6" s="58"/>
      <c r="C6" s="58"/>
      <c r="D6" s="33"/>
      <c r="E6" s="33"/>
      <c r="F6" s="33"/>
      <c r="G6" s="58" t="s">
        <v>7</v>
      </c>
      <c r="H6" s="58">
        <v>117</v>
      </c>
      <c r="I6" s="59" t="s">
        <v>59</v>
      </c>
      <c r="J6" s="59"/>
      <c r="K6" s="59"/>
      <c r="L6" s="59"/>
      <c r="M6" s="59"/>
      <c r="N6" s="59"/>
      <c r="O6" s="59"/>
      <c r="P6" s="59"/>
      <c r="Q6" s="59">
        <f>SUM(J6:P6)</f>
        <v>0</v>
      </c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  <c r="AW6" s="60">
        <f>SUM(R6:AV6)</f>
        <v>0</v>
      </c>
    </row>
    <row r="7" spans="1:49" x14ac:dyDescent="0.2">
      <c r="A7" s="58"/>
      <c r="B7" s="58"/>
      <c r="C7" s="58"/>
      <c r="D7" s="33"/>
      <c r="E7" s="33"/>
      <c r="F7" s="33"/>
      <c r="G7" s="58" t="s">
        <v>7</v>
      </c>
      <c r="H7" s="58">
        <v>119</v>
      </c>
      <c r="I7" s="59" t="s">
        <v>57</v>
      </c>
      <c r="J7" s="59"/>
      <c r="K7" s="59"/>
      <c r="L7" s="59"/>
      <c r="M7" s="59"/>
      <c r="N7" s="59"/>
      <c r="O7" s="59"/>
      <c r="P7" s="59"/>
      <c r="Q7" s="59">
        <f>SUM(J7:P7)</f>
        <v>0</v>
      </c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  <c r="AW7" s="60">
        <f>SUM(R7:AV7)</f>
        <v>0</v>
      </c>
    </row>
    <row r="8" spans="1:49" x14ac:dyDescent="0.2">
      <c r="A8" s="58">
        <v>3</v>
      </c>
      <c r="B8" s="58" t="b">
        <v>1</v>
      </c>
      <c r="C8" s="58"/>
      <c r="D8" s="33"/>
      <c r="E8" s="33"/>
      <c r="F8" s="33"/>
      <c r="G8" s="58" t="s">
        <v>6</v>
      </c>
      <c r="H8" s="58">
        <v>101</v>
      </c>
      <c r="I8" s="59" t="s">
        <v>2</v>
      </c>
      <c r="J8" s="59"/>
      <c r="K8" s="59"/>
      <c r="L8" s="59"/>
      <c r="M8" s="59"/>
      <c r="N8" s="59"/>
      <c r="O8" s="59"/>
      <c r="P8" s="59"/>
      <c r="Q8" s="59">
        <f>SUM(J8:P8)</f>
        <v>0</v>
      </c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60">
        <f>SUM(R8:AV8)</f>
        <v>0</v>
      </c>
    </row>
    <row r="9" spans="1:49" x14ac:dyDescent="0.2">
      <c r="A9" s="58"/>
      <c r="B9" s="58"/>
      <c r="C9" s="58"/>
      <c r="D9" s="33"/>
      <c r="E9" s="33"/>
      <c r="F9" s="33"/>
      <c r="G9" s="58" t="s">
        <v>7</v>
      </c>
      <c r="H9" s="58">
        <v>117</v>
      </c>
      <c r="I9" s="59" t="s">
        <v>59</v>
      </c>
      <c r="J9" s="59"/>
      <c r="K9" s="59"/>
      <c r="L9" s="59"/>
      <c r="M9" s="59"/>
      <c r="N9" s="59"/>
      <c r="O9" s="59"/>
      <c r="P9" s="59"/>
      <c r="Q9" s="59">
        <f>SUM(J9:P9)</f>
        <v>0</v>
      </c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3"/>
      <c r="AW9" s="60">
        <f>SUM(R9:AV9)</f>
        <v>0</v>
      </c>
    </row>
    <row r="10" spans="1:49" x14ac:dyDescent="0.2">
      <c r="A10" s="58"/>
      <c r="B10" s="58"/>
      <c r="C10" s="58"/>
      <c r="D10" s="33"/>
      <c r="E10" s="33"/>
      <c r="F10" s="33"/>
      <c r="G10" s="58" t="s">
        <v>7</v>
      </c>
      <c r="H10" s="58">
        <v>119</v>
      </c>
      <c r="I10" s="59" t="s">
        <v>57</v>
      </c>
      <c r="J10" s="59"/>
      <c r="K10" s="59"/>
      <c r="L10" s="59"/>
      <c r="M10" s="59"/>
      <c r="N10" s="59"/>
      <c r="O10" s="59"/>
      <c r="P10" s="59"/>
      <c r="Q10" s="59">
        <f>SUM(J10:P10)</f>
        <v>0</v>
      </c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60">
        <f>SUM(R10:AV10)</f>
        <v>0</v>
      </c>
    </row>
    <row r="11" spans="1:49" x14ac:dyDescent="0.2">
      <c r="A11" s="58">
        <v>4</v>
      </c>
      <c r="B11" s="58" t="b">
        <v>1</v>
      </c>
      <c r="C11" s="58"/>
      <c r="D11" s="33"/>
      <c r="E11" s="33"/>
      <c r="F11" s="33"/>
      <c r="G11" s="58" t="s">
        <v>6</v>
      </c>
      <c r="H11" s="58">
        <v>101</v>
      </c>
      <c r="I11" s="59" t="s">
        <v>2</v>
      </c>
      <c r="J11" s="59"/>
      <c r="K11" s="59"/>
      <c r="L11" s="59"/>
      <c r="M11" s="59"/>
      <c r="N11" s="59"/>
      <c r="O11" s="59"/>
      <c r="P11" s="59"/>
      <c r="Q11" s="59">
        <f>SUM(J11:P11)</f>
        <v>0</v>
      </c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60">
        <f>SUM(R11:AV11)</f>
        <v>0</v>
      </c>
    </row>
    <row r="12" spans="1:49" x14ac:dyDescent="0.2">
      <c r="A12" s="58"/>
      <c r="B12" s="58"/>
      <c r="C12" s="58"/>
      <c r="D12" s="33"/>
      <c r="E12" s="33"/>
      <c r="F12" s="33"/>
      <c r="G12" s="58" t="s">
        <v>7</v>
      </c>
      <c r="H12" s="58">
        <v>106</v>
      </c>
      <c r="I12" s="59" t="s">
        <v>21</v>
      </c>
      <c r="J12" s="59"/>
      <c r="K12" s="59"/>
      <c r="L12" s="59"/>
      <c r="M12" s="59"/>
      <c r="N12" s="59"/>
      <c r="O12" s="59"/>
      <c r="P12" s="59"/>
      <c r="Q12" s="59">
        <f>SUM(J12:P12)</f>
        <v>0</v>
      </c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60">
        <f>SUM(R12:AV12)</f>
        <v>0</v>
      </c>
    </row>
    <row r="13" spans="1:49" x14ac:dyDescent="0.2">
      <c r="A13" s="58"/>
      <c r="B13" s="58"/>
      <c r="C13" s="58"/>
      <c r="D13" s="33"/>
      <c r="E13" s="33"/>
      <c r="F13" s="33"/>
      <c r="G13" s="58" t="s">
        <v>7</v>
      </c>
      <c r="H13" s="58">
        <v>108</v>
      </c>
      <c r="I13" s="59" t="s">
        <v>15</v>
      </c>
      <c r="J13" s="59"/>
      <c r="K13" s="59"/>
      <c r="L13" s="59"/>
      <c r="M13" s="59"/>
      <c r="N13" s="59"/>
      <c r="O13" s="59"/>
      <c r="P13" s="59"/>
      <c r="Q13" s="59">
        <f>SUM(J13:P13)</f>
        <v>0</v>
      </c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60">
        <f>SUM(R13:AV13)</f>
        <v>0</v>
      </c>
    </row>
    <row r="14" spans="1:49" x14ac:dyDescent="0.2">
      <c r="A14" s="58"/>
      <c r="B14" s="58"/>
      <c r="C14" s="58"/>
      <c r="D14" s="33"/>
      <c r="E14" s="33"/>
      <c r="F14" s="33"/>
      <c r="G14" s="58" t="s">
        <v>7</v>
      </c>
      <c r="H14" s="58">
        <v>116</v>
      </c>
      <c r="I14" s="59" t="s">
        <v>60</v>
      </c>
      <c r="J14" s="59"/>
      <c r="K14" s="59"/>
      <c r="L14" s="59"/>
      <c r="M14" s="59"/>
      <c r="N14" s="59"/>
      <c r="O14" s="59"/>
      <c r="P14" s="59"/>
      <c r="Q14" s="59">
        <f>SUM(J14:P14)</f>
        <v>0</v>
      </c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/>
      <c r="AV14" s="33"/>
      <c r="AW14" s="60">
        <f>SUM(R14:AV14)</f>
        <v>0</v>
      </c>
    </row>
    <row r="15" spans="1:49" x14ac:dyDescent="0.2">
      <c r="A15" s="58"/>
      <c r="B15" s="58"/>
      <c r="C15" s="58"/>
      <c r="D15" s="33"/>
      <c r="E15" s="33"/>
      <c r="F15" s="33"/>
      <c r="G15" s="58" t="s">
        <v>7</v>
      </c>
      <c r="H15" s="58">
        <v>119</v>
      </c>
      <c r="I15" s="59" t="s">
        <v>57</v>
      </c>
      <c r="J15" s="59"/>
      <c r="K15" s="59"/>
      <c r="L15" s="59"/>
      <c r="M15" s="59"/>
      <c r="N15" s="59"/>
      <c r="O15" s="59"/>
      <c r="P15" s="59"/>
      <c r="Q15" s="59">
        <f>SUM(J15:P15)</f>
        <v>0</v>
      </c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/>
      <c r="AV15" s="33"/>
      <c r="AW15" s="60">
        <f>SUM(R15:AV15)</f>
        <v>0</v>
      </c>
    </row>
    <row r="16" spans="1:49" x14ac:dyDescent="0.2">
      <c r="A16" s="58">
        <v>5</v>
      </c>
      <c r="B16" s="58" t="b">
        <v>1</v>
      </c>
      <c r="C16" s="58"/>
      <c r="D16" s="33"/>
      <c r="E16" s="33"/>
      <c r="F16" s="33"/>
      <c r="G16" s="58" t="s">
        <v>6</v>
      </c>
      <c r="H16" s="58">
        <v>101</v>
      </c>
      <c r="I16" s="59" t="s">
        <v>2</v>
      </c>
      <c r="J16" s="59"/>
      <c r="K16" s="59"/>
      <c r="L16" s="59"/>
      <c r="M16" s="59"/>
      <c r="N16" s="59"/>
      <c r="O16" s="59"/>
      <c r="P16" s="59"/>
      <c r="Q16" s="59">
        <f>SUM(J16:P16)</f>
        <v>0</v>
      </c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60">
        <f>SUM(R16:AV16)</f>
        <v>0</v>
      </c>
    </row>
    <row r="17" spans="1:49" x14ac:dyDescent="0.2">
      <c r="A17" s="58"/>
      <c r="B17" s="58"/>
      <c r="C17" s="58"/>
      <c r="D17" s="33"/>
      <c r="E17" s="33"/>
      <c r="F17" s="33"/>
      <c r="G17" s="58" t="s">
        <v>7</v>
      </c>
      <c r="H17" s="58">
        <v>106</v>
      </c>
      <c r="I17" s="59" t="s">
        <v>21</v>
      </c>
      <c r="J17" s="59"/>
      <c r="K17" s="59"/>
      <c r="L17" s="59"/>
      <c r="M17" s="59"/>
      <c r="N17" s="59"/>
      <c r="O17" s="59"/>
      <c r="P17" s="59"/>
      <c r="Q17" s="59">
        <f>SUM(J17:P17)</f>
        <v>0</v>
      </c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/>
      <c r="AV17" s="33"/>
      <c r="AW17" s="60">
        <f>SUM(R17:AV17)</f>
        <v>0</v>
      </c>
    </row>
    <row r="18" spans="1:49" x14ac:dyDescent="0.2">
      <c r="A18" s="58"/>
      <c r="B18" s="58"/>
      <c r="C18" s="58"/>
      <c r="D18" s="33"/>
      <c r="E18" s="33"/>
      <c r="F18" s="33"/>
      <c r="G18" s="58" t="s">
        <v>7</v>
      </c>
      <c r="H18" s="58">
        <v>116</v>
      </c>
      <c r="I18" s="59" t="s">
        <v>60</v>
      </c>
      <c r="J18" s="59"/>
      <c r="K18" s="59"/>
      <c r="L18" s="59"/>
      <c r="M18" s="59"/>
      <c r="N18" s="59"/>
      <c r="O18" s="59"/>
      <c r="P18" s="59"/>
      <c r="Q18" s="59">
        <f>SUM(J18:P18)</f>
        <v>0</v>
      </c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60">
        <f>SUM(R18:AV18)</f>
        <v>0</v>
      </c>
    </row>
    <row r="19" spans="1:49" x14ac:dyDescent="0.2">
      <c r="A19" s="58"/>
      <c r="B19" s="58"/>
      <c r="C19" s="58"/>
      <c r="D19" s="33"/>
      <c r="E19" s="33"/>
      <c r="F19" s="33"/>
      <c r="G19" s="58" t="s">
        <v>7</v>
      </c>
      <c r="H19" s="58">
        <v>119</v>
      </c>
      <c r="I19" s="59" t="s">
        <v>57</v>
      </c>
      <c r="J19" s="59"/>
      <c r="K19" s="59"/>
      <c r="L19" s="59"/>
      <c r="M19" s="59"/>
      <c r="N19" s="59"/>
      <c r="O19" s="59"/>
      <c r="P19" s="59"/>
      <c r="Q19" s="59">
        <f>SUM(J19:P19)</f>
        <v>0</v>
      </c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60">
        <f>SUM(R19:AV19)</f>
        <v>0</v>
      </c>
    </row>
    <row r="20" spans="1:49" x14ac:dyDescent="0.2">
      <c r="A20" s="58">
        <v>6</v>
      </c>
      <c r="B20" s="58" t="b">
        <v>1</v>
      </c>
      <c r="C20" s="58"/>
      <c r="D20" s="33"/>
      <c r="E20" s="33"/>
      <c r="F20" s="33"/>
      <c r="G20" s="58" t="s">
        <v>6</v>
      </c>
      <c r="H20" s="58">
        <v>101</v>
      </c>
      <c r="I20" s="59" t="s">
        <v>2</v>
      </c>
      <c r="J20" s="59"/>
      <c r="K20" s="59"/>
      <c r="L20" s="59"/>
      <c r="M20" s="59"/>
      <c r="N20" s="59"/>
      <c r="O20" s="59"/>
      <c r="P20" s="59"/>
      <c r="Q20" s="59">
        <f>SUM(J20:P20)</f>
        <v>0</v>
      </c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/>
      <c r="AV20" s="33"/>
      <c r="AW20" s="60">
        <f>SUM(R20:AV20)</f>
        <v>0</v>
      </c>
    </row>
    <row r="21" spans="1:49" x14ac:dyDescent="0.2">
      <c r="A21" s="58"/>
      <c r="B21" s="58"/>
      <c r="C21" s="58"/>
      <c r="D21" s="33"/>
      <c r="E21" s="33"/>
      <c r="F21" s="33"/>
      <c r="G21" s="58" t="s">
        <v>7</v>
      </c>
      <c r="H21" s="58">
        <v>106</v>
      </c>
      <c r="I21" s="59" t="s">
        <v>21</v>
      </c>
      <c r="J21" s="59"/>
      <c r="K21" s="59"/>
      <c r="L21" s="59"/>
      <c r="M21" s="59"/>
      <c r="N21" s="59"/>
      <c r="O21" s="59"/>
      <c r="P21" s="59"/>
      <c r="Q21" s="59">
        <f>SUM(J21:P21)</f>
        <v>0</v>
      </c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/>
      <c r="AV21" s="33"/>
      <c r="AW21" s="60">
        <f>SUM(R21:AV21)</f>
        <v>0</v>
      </c>
    </row>
    <row r="22" spans="1:49" x14ac:dyDescent="0.2">
      <c r="A22" s="58"/>
      <c r="B22" s="58"/>
      <c r="C22" s="58"/>
      <c r="D22" s="33"/>
      <c r="E22" s="33"/>
      <c r="F22" s="33"/>
      <c r="G22" s="58" t="s">
        <v>7</v>
      </c>
      <c r="H22" s="58">
        <v>116</v>
      </c>
      <c r="I22" s="59" t="s">
        <v>60</v>
      </c>
      <c r="J22" s="59"/>
      <c r="K22" s="59"/>
      <c r="L22" s="59"/>
      <c r="M22" s="59"/>
      <c r="N22" s="59"/>
      <c r="O22" s="59"/>
      <c r="P22" s="59"/>
      <c r="Q22" s="59">
        <f>SUM(J22:P22)</f>
        <v>0</v>
      </c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/>
      <c r="AV22" s="33"/>
      <c r="AW22" s="60">
        <f>SUM(R22:AV22)</f>
        <v>0</v>
      </c>
    </row>
    <row r="23" spans="1:49" x14ac:dyDescent="0.2">
      <c r="A23" s="58"/>
      <c r="B23" s="58"/>
      <c r="C23" s="58"/>
      <c r="D23" s="33"/>
      <c r="E23" s="33"/>
      <c r="F23" s="33"/>
      <c r="G23" s="58" t="s">
        <v>7</v>
      </c>
      <c r="H23" s="58">
        <v>119</v>
      </c>
      <c r="I23" s="59" t="s">
        <v>57</v>
      </c>
      <c r="J23" s="59"/>
      <c r="K23" s="59"/>
      <c r="L23" s="59"/>
      <c r="M23" s="59"/>
      <c r="N23" s="59"/>
      <c r="O23" s="59"/>
      <c r="P23" s="59"/>
      <c r="Q23" s="59">
        <f>SUM(J23:P23)</f>
        <v>0</v>
      </c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/>
      <c r="AV23" s="33"/>
      <c r="AW23" s="60">
        <f>SUM(R23:AV23)</f>
        <v>0</v>
      </c>
    </row>
    <row r="24" spans="1:49" x14ac:dyDescent="0.2">
      <c r="A24" s="58">
        <v>7</v>
      </c>
      <c r="B24" s="58" t="b">
        <v>1</v>
      </c>
      <c r="C24" s="58"/>
      <c r="D24" s="33"/>
      <c r="E24" s="33"/>
      <c r="F24" s="33"/>
      <c r="G24" s="58" t="s">
        <v>6</v>
      </c>
      <c r="H24" s="58">
        <v>101</v>
      </c>
      <c r="I24" s="59" t="s">
        <v>2</v>
      </c>
      <c r="J24" s="59"/>
      <c r="K24" s="59"/>
      <c r="L24" s="59"/>
      <c r="M24" s="59"/>
      <c r="N24" s="59"/>
      <c r="O24" s="59"/>
      <c r="P24" s="59"/>
      <c r="Q24" s="59">
        <f>SUM(J24:P24)</f>
        <v>0</v>
      </c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/>
      <c r="AV24" s="33"/>
      <c r="AW24" s="60">
        <f>SUM(R24:AV24)</f>
        <v>0</v>
      </c>
    </row>
    <row r="25" spans="1:49" x14ac:dyDescent="0.2">
      <c r="A25" s="58"/>
      <c r="B25" s="58"/>
      <c r="C25" s="58"/>
      <c r="D25" s="33"/>
      <c r="E25" s="33"/>
      <c r="F25" s="33"/>
      <c r="G25" s="58" t="s">
        <v>7</v>
      </c>
      <c r="H25" s="58">
        <v>116</v>
      </c>
      <c r="I25" s="59" t="s">
        <v>60</v>
      </c>
      <c r="J25" s="59"/>
      <c r="K25" s="59"/>
      <c r="L25" s="59"/>
      <c r="M25" s="59"/>
      <c r="N25" s="59"/>
      <c r="O25" s="59"/>
      <c r="P25" s="59"/>
      <c r="Q25" s="59">
        <f>SUM(J25:P25)</f>
        <v>0</v>
      </c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60">
        <f>SUM(R25:AV25)</f>
        <v>0</v>
      </c>
    </row>
    <row r="26" spans="1:49" x14ac:dyDescent="0.2">
      <c r="A26" s="58"/>
      <c r="B26" s="58"/>
      <c r="C26" s="58"/>
      <c r="D26" s="33"/>
      <c r="E26" s="33"/>
      <c r="F26" s="33"/>
      <c r="G26" s="58" t="s">
        <v>7</v>
      </c>
      <c r="H26" s="58">
        <v>119</v>
      </c>
      <c r="I26" s="59" t="s">
        <v>57</v>
      </c>
      <c r="J26" s="59"/>
      <c r="K26" s="59"/>
      <c r="L26" s="59"/>
      <c r="M26" s="59"/>
      <c r="N26" s="59"/>
      <c r="O26" s="59"/>
      <c r="P26" s="59"/>
      <c r="Q26" s="59">
        <f>SUM(J26:P26)</f>
        <v>0</v>
      </c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60">
        <f>SUM(R26:AV26)</f>
        <v>0</v>
      </c>
    </row>
    <row r="27" spans="1:49" x14ac:dyDescent="0.2">
      <c r="A27" s="58">
        <v>8</v>
      </c>
      <c r="B27" s="58" t="b">
        <v>1</v>
      </c>
      <c r="C27" s="58"/>
      <c r="D27" s="33"/>
      <c r="E27" s="33"/>
      <c r="F27" s="33"/>
      <c r="G27" s="58" t="s">
        <v>6</v>
      </c>
      <c r="H27" s="58">
        <v>101</v>
      </c>
      <c r="I27" s="59" t="s">
        <v>2</v>
      </c>
      <c r="J27" s="59"/>
      <c r="K27" s="59"/>
      <c r="L27" s="59"/>
      <c r="M27" s="59"/>
      <c r="N27" s="59"/>
      <c r="O27" s="59"/>
      <c r="P27" s="59"/>
      <c r="Q27" s="59">
        <f>SUM(J27:P27)</f>
        <v>0</v>
      </c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P27" s="33"/>
      <c r="AQ27" s="33"/>
      <c r="AR27" s="33"/>
      <c r="AS27" s="33"/>
      <c r="AT27" s="33"/>
      <c r="AU27" s="33"/>
      <c r="AV27" s="33"/>
      <c r="AW27" s="60">
        <f>SUM(R27:AV27)</f>
        <v>0</v>
      </c>
    </row>
    <row r="28" spans="1:49" x14ac:dyDescent="0.2">
      <c r="A28" s="58"/>
      <c r="B28" s="58"/>
      <c r="C28" s="58"/>
      <c r="D28" s="33"/>
      <c r="E28" s="33"/>
      <c r="F28" s="33"/>
      <c r="G28" s="58" t="s">
        <v>7</v>
      </c>
      <c r="H28" s="58">
        <v>106</v>
      </c>
      <c r="I28" s="59" t="s">
        <v>21</v>
      </c>
      <c r="J28" s="59"/>
      <c r="K28" s="59"/>
      <c r="L28" s="59"/>
      <c r="M28" s="59"/>
      <c r="N28" s="59"/>
      <c r="O28" s="59"/>
      <c r="P28" s="59"/>
      <c r="Q28" s="59">
        <f>SUM(J28:P28)</f>
        <v>0</v>
      </c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P28" s="33"/>
      <c r="AQ28" s="33"/>
      <c r="AR28" s="33"/>
      <c r="AS28" s="33"/>
      <c r="AT28" s="33"/>
      <c r="AU28" s="33"/>
      <c r="AV28" s="33"/>
      <c r="AW28" s="60">
        <f>SUM(R28:AV28)</f>
        <v>0</v>
      </c>
    </row>
    <row r="29" spans="1:49" x14ac:dyDescent="0.2">
      <c r="A29" s="58"/>
      <c r="B29" s="58"/>
      <c r="C29" s="58"/>
      <c r="D29" s="33"/>
      <c r="E29" s="33"/>
      <c r="F29" s="33"/>
      <c r="G29" s="58" t="s">
        <v>7</v>
      </c>
      <c r="H29" s="58">
        <v>116</v>
      </c>
      <c r="I29" s="59" t="s">
        <v>60</v>
      </c>
      <c r="J29" s="59"/>
      <c r="K29" s="59"/>
      <c r="L29" s="59"/>
      <c r="M29" s="59"/>
      <c r="N29" s="59"/>
      <c r="O29" s="59"/>
      <c r="P29" s="59"/>
      <c r="Q29" s="59">
        <f>SUM(J29:P29)</f>
        <v>0</v>
      </c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  <c r="AO29" s="33"/>
      <c r="AP29" s="33"/>
      <c r="AQ29" s="33"/>
      <c r="AR29" s="33"/>
      <c r="AS29" s="33"/>
      <c r="AT29" s="33"/>
      <c r="AU29" s="33"/>
      <c r="AV29" s="33"/>
      <c r="AW29" s="60">
        <f>SUM(R29:AV29)</f>
        <v>0</v>
      </c>
    </row>
    <row r="30" spans="1:49" x14ac:dyDescent="0.2">
      <c r="A30" s="58"/>
      <c r="B30" s="58"/>
      <c r="C30" s="58"/>
      <c r="D30" s="33"/>
      <c r="E30" s="33"/>
      <c r="F30" s="33"/>
      <c r="G30" s="58" t="s">
        <v>7</v>
      </c>
      <c r="H30" s="58">
        <v>119</v>
      </c>
      <c r="I30" s="59" t="s">
        <v>57</v>
      </c>
      <c r="J30" s="59"/>
      <c r="K30" s="59"/>
      <c r="L30" s="59"/>
      <c r="M30" s="59"/>
      <c r="N30" s="59"/>
      <c r="O30" s="59"/>
      <c r="P30" s="59"/>
      <c r="Q30" s="59">
        <f>SUM(J30:P30)</f>
        <v>0</v>
      </c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  <c r="AO30" s="33"/>
      <c r="AP30" s="33"/>
      <c r="AQ30" s="33"/>
      <c r="AR30" s="33"/>
      <c r="AS30" s="33"/>
      <c r="AT30" s="33"/>
      <c r="AU30" s="33"/>
      <c r="AV30" s="33"/>
      <c r="AW30" s="60">
        <f>SUM(R30:AV30)</f>
        <v>0</v>
      </c>
    </row>
    <row r="31" spans="1:49" x14ac:dyDescent="0.2">
      <c r="A31" s="58">
        <v>9</v>
      </c>
      <c r="B31" s="58" t="b">
        <v>1</v>
      </c>
      <c r="C31" s="58"/>
      <c r="D31" s="33"/>
      <c r="E31" s="33"/>
      <c r="F31" s="33"/>
      <c r="G31" s="58" t="s">
        <v>6</v>
      </c>
      <c r="H31" s="58">
        <v>101</v>
      </c>
      <c r="I31" s="59" t="s">
        <v>2</v>
      </c>
      <c r="J31" s="59"/>
      <c r="K31" s="59"/>
      <c r="L31" s="59"/>
      <c r="M31" s="59"/>
      <c r="N31" s="59"/>
      <c r="O31" s="59"/>
      <c r="P31" s="59"/>
      <c r="Q31" s="59">
        <f>SUM(J31:P31)</f>
        <v>0</v>
      </c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/>
      <c r="AQ31" s="33"/>
      <c r="AR31" s="33"/>
      <c r="AS31" s="33"/>
      <c r="AT31" s="33"/>
      <c r="AU31" s="33"/>
      <c r="AV31" s="33"/>
      <c r="AW31" s="60">
        <f>SUM(R31:AV31)</f>
        <v>0</v>
      </c>
    </row>
    <row r="32" spans="1:49" x14ac:dyDescent="0.2">
      <c r="A32" s="58"/>
      <c r="B32" s="58"/>
      <c r="C32" s="58"/>
      <c r="D32" s="33"/>
      <c r="E32" s="33"/>
      <c r="F32" s="33"/>
      <c r="G32" s="58" t="s">
        <v>7</v>
      </c>
      <c r="H32" s="58">
        <v>106</v>
      </c>
      <c r="I32" s="59" t="s">
        <v>21</v>
      </c>
      <c r="J32" s="59"/>
      <c r="K32" s="59"/>
      <c r="L32" s="59"/>
      <c r="M32" s="59"/>
      <c r="N32" s="59"/>
      <c r="O32" s="59"/>
      <c r="P32" s="59"/>
      <c r="Q32" s="59">
        <f>SUM(J32:P32)</f>
        <v>0</v>
      </c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60">
        <f>SUM(R32:AV32)</f>
        <v>0</v>
      </c>
    </row>
    <row r="33" spans="1:49" x14ac:dyDescent="0.2">
      <c r="A33" s="58"/>
      <c r="B33" s="58"/>
      <c r="C33" s="58"/>
      <c r="D33" s="33"/>
      <c r="E33" s="33"/>
      <c r="F33" s="33"/>
      <c r="G33" s="58" t="s">
        <v>7</v>
      </c>
      <c r="H33" s="58">
        <v>116</v>
      </c>
      <c r="I33" s="59" t="s">
        <v>60</v>
      </c>
      <c r="J33" s="59"/>
      <c r="K33" s="59"/>
      <c r="L33" s="59"/>
      <c r="M33" s="59"/>
      <c r="N33" s="59"/>
      <c r="O33" s="59"/>
      <c r="P33" s="59"/>
      <c r="Q33" s="59">
        <f>SUM(J33:P33)</f>
        <v>0</v>
      </c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60">
        <f>SUM(R33:AV33)</f>
        <v>0</v>
      </c>
    </row>
    <row r="34" spans="1:49" x14ac:dyDescent="0.2">
      <c r="A34" s="58"/>
      <c r="B34" s="58"/>
      <c r="C34" s="58"/>
      <c r="D34" s="33"/>
      <c r="E34" s="33"/>
      <c r="F34" s="33"/>
      <c r="G34" s="58" t="s">
        <v>7</v>
      </c>
      <c r="H34" s="58">
        <v>119</v>
      </c>
      <c r="I34" s="59" t="s">
        <v>57</v>
      </c>
      <c r="J34" s="59"/>
      <c r="K34" s="59"/>
      <c r="L34" s="59"/>
      <c r="M34" s="59"/>
      <c r="N34" s="59"/>
      <c r="O34" s="59"/>
      <c r="P34" s="59"/>
      <c r="Q34" s="59">
        <f>SUM(J34:P34)</f>
        <v>0</v>
      </c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60">
        <f>SUM(R34:AV34)</f>
        <v>0</v>
      </c>
    </row>
    <row r="35" spans="1:49" x14ac:dyDescent="0.2">
      <c r="A35" s="58">
        <v>10</v>
      </c>
      <c r="B35" s="58" t="b">
        <v>1</v>
      </c>
      <c r="C35" s="58"/>
      <c r="D35" s="33"/>
      <c r="E35" s="33"/>
      <c r="F35" s="33"/>
      <c r="G35" s="58" t="s">
        <v>6</v>
      </c>
      <c r="H35" s="58">
        <v>101</v>
      </c>
      <c r="I35" s="59" t="s">
        <v>2</v>
      </c>
      <c r="J35" s="59"/>
      <c r="K35" s="59"/>
      <c r="L35" s="59"/>
      <c r="M35" s="59"/>
      <c r="N35" s="59"/>
      <c r="O35" s="59"/>
      <c r="P35" s="59"/>
      <c r="Q35" s="59">
        <f>SUM(J35:P35)</f>
        <v>0</v>
      </c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P35" s="33"/>
      <c r="AQ35" s="33"/>
      <c r="AR35" s="33"/>
      <c r="AS35" s="33"/>
      <c r="AT35" s="33"/>
      <c r="AU35" s="33"/>
      <c r="AV35" s="33"/>
      <c r="AW35" s="60">
        <f>SUM(R35:AV35)</f>
        <v>0</v>
      </c>
    </row>
    <row r="36" spans="1:49" x14ac:dyDescent="0.2">
      <c r="A36" s="58"/>
      <c r="B36" s="58"/>
      <c r="C36" s="58"/>
      <c r="D36" s="33"/>
      <c r="E36" s="33"/>
      <c r="F36" s="33"/>
      <c r="G36" s="58" t="s">
        <v>7</v>
      </c>
      <c r="H36" s="58">
        <v>106</v>
      </c>
      <c r="I36" s="59" t="s">
        <v>21</v>
      </c>
      <c r="J36" s="59"/>
      <c r="K36" s="59"/>
      <c r="L36" s="59"/>
      <c r="M36" s="59"/>
      <c r="N36" s="59"/>
      <c r="O36" s="59"/>
      <c r="P36" s="59"/>
      <c r="Q36" s="59">
        <f>SUM(J36:P36)</f>
        <v>0</v>
      </c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  <c r="AS36" s="33"/>
      <c r="AT36" s="33"/>
      <c r="AU36" s="33"/>
      <c r="AV36" s="33"/>
      <c r="AW36" s="60">
        <f>SUM(R36:AV36)</f>
        <v>0</v>
      </c>
    </row>
    <row r="37" spans="1:49" x14ac:dyDescent="0.2">
      <c r="A37" s="58"/>
      <c r="B37" s="58"/>
      <c r="C37" s="58"/>
      <c r="D37" s="33"/>
      <c r="E37" s="33"/>
      <c r="F37" s="33"/>
      <c r="G37" s="58" t="s">
        <v>7</v>
      </c>
      <c r="H37" s="58">
        <v>116</v>
      </c>
      <c r="I37" s="59" t="s">
        <v>60</v>
      </c>
      <c r="J37" s="59"/>
      <c r="K37" s="59"/>
      <c r="L37" s="59"/>
      <c r="M37" s="59"/>
      <c r="N37" s="59"/>
      <c r="O37" s="59"/>
      <c r="P37" s="59"/>
      <c r="Q37" s="59">
        <f>SUM(J37:P37)</f>
        <v>0</v>
      </c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33"/>
      <c r="AT37" s="33"/>
      <c r="AU37" s="33"/>
      <c r="AV37" s="33"/>
      <c r="AW37" s="60">
        <f>SUM(R37:AV37)</f>
        <v>0</v>
      </c>
    </row>
    <row r="38" spans="1:49" x14ac:dyDescent="0.2">
      <c r="A38" s="58"/>
      <c r="B38" s="58"/>
      <c r="C38" s="58"/>
      <c r="D38" s="33"/>
      <c r="E38" s="33"/>
      <c r="F38" s="33"/>
      <c r="G38" s="58" t="s">
        <v>7</v>
      </c>
      <c r="H38" s="58">
        <v>119</v>
      </c>
      <c r="I38" s="59" t="s">
        <v>57</v>
      </c>
      <c r="J38" s="59"/>
      <c r="K38" s="59"/>
      <c r="L38" s="59"/>
      <c r="M38" s="59"/>
      <c r="N38" s="59"/>
      <c r="O38" s="59"/>
      <c r="P38" s="59"/>
      <c r="Q38" s="59">
        <f>SUM(J38:P38)</f>
        <v>0</v>
      </c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  <c r="AP38" s="33"/>
      <c r="AQ38" s="33"/>
      <c r="AR38" s="33"/>
      <c r="AS38" s="33"/>
      <c r="AT38" s="33"/>
      <c r="AU38" s="33"/>
      <c r="AV38" s="33"/>
      <c r="AW38" s="60">
        <f>SUM(R38:AV38)</f>
        <v>0</v>
      </c>
    </row>
    <row r="39" spans="1:49" x14ac:dyDescent="0.2">
      <c r="A39" s="58">
        <v>11</v>
      </c>
      <c r="B39" s="58" t="b">
        <v>1</v>
      </c>
      <c r="C39" s="58"/>
      <c r="D39" s="33"/>
      <c r="E39" s="33"/>
      <c r="F39" s="33"/>
      <c r="G39" s="58" t="s">
        <v>6</v>
      </c>
      <c r="H39" s="58">
        <v>101</v>
      </c>
      <c r="I39" s="59" t="s">
        <v>2</v>
      </c>
      <c r="J39" s="59"/>
      <c r="K39" s="59"/>
      <c r="L39" s="59"/>
      <c r="M39" s="59"/>
      <c r="N39" s="59"/>
      <c r="O39" s="59"/>
      <c r="P39" s="59"/>
      <c r="Q39" s="59">
        <f>SUM(J39:P39)</f>
        <v>0</v>
      </c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P39" s="33"/>
      <c r="AQ39" s="33"/>
      <c r="AR39" s="33"/>
      <c r="AS39" s="33"/>
      <c r="AT39" s="33"/>
      <c r="AU39" s="33"/>
      <c r="AV39" s="33"/>
      <c r="AW39" s="60">
        <f>SUM(R39:AV39)</f>
        <v>0</v>
      </c>
    </row>
    <row r="40" spans="1:49" x14ac:dyDescent="0.2">
      <c r="A40" s="58"/>
      <c r="B40" s="58"/>
      <c r="C40" s="58"/>
      <c r="D40" s="33"/>
      <c r="E40" s="33"/>
      <c r="F40" s="33"/>
      <c r="G40" s="58" t="s">
        <v>7</v>
      </c>
      <c r="H40" s="58">
        <v>106</v>
      </c>
      <c r="I40" s="59" t="s">
        <v>21</v>
      </c>
      <c r="J40" s="59"/>
      <c r="K40" s="59"/>
      <c r="L40" s="59"/>
      <c r="M40" s="59"/>
      <c r="N40" s="59"/>
      <c r="O40" s="59"/>
      <c r="P40" s="59"/>
      <c r="Q40" s="59">
        <f>SUM(J40:P40)</f>
        <v>0</v>
      </c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P40" s="33"/>
      <c r="AQ40" s="33"/>
      <c r="AR40" s="33"/>
      <c r="AS40" s="33"/>
      <c r="AT40" s="33"/>
      <c r="AU40" s="33"/>
      <c r="AV40" s="33"/>
      <c r="AW40" s="60">
        <f>SUM(R40:AV40)</f>
        <v>0</v>
      </c>
    </row>
    <row r="41" spans="1:49" x14ac:dyDescent="0.2">
      <c r="A41" s="58"/>
      <c r="B41" s="58"/>
      <c r="C41" s="58"/>
      <c r="D41" s="33"/>
      <c r="E41" s="33"/>
      <c r="F41" s="33"/>
      <c r="G41" s="58" t="s">
        <v>7</v>
      </c>
      <c r="H41" s="58">
        <v>119</v>
      </c>
      <c r="I41" s="59" t="s">
        <v>57</v>
      </c>
      <c r="J41" s="59"/>
      <c r="K41" s="59"/>
      <c r="L41" s="59"/>
      <c r="M41" s="59"/>
      <c r="N41" s="59"/>
      <c r="O41" s="59"/>
      <c r="P41" s="59"/>
      <c r="Q41" s="59">
        <f>SUM(J41:P41)</f>
        <v>0</v>
      </c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P41" s="33"/>
      <c r="AQ41" s="33"/>
      <c r="AR41" s="33"/>
      <c r="AS41" s="33"/>
      <c r="AT41" s="33"/>
      <c r="AU41" s="33"/>
      <c r="AV41" s="33"/>
      <c r="AW41" s="60">
        <f>SUM(R41:AV41)</f>
        <v>0</v>
      </c>
    </row>
    <row r="42" spans="1:49" x14ac:dyDescent="0.2">
      <c r="A42" s="58">
        <v>12</v>
      </c>
      <c r="B42" s="58" t="b">
        <v>0</v>
      </c>
      <c r="C42" s="58"/>
      <c r="D42" s="33"/>
      <c r="E42" s="33"/>
      <c r="F42" s="33"/>
      <c r="G42" s="58" t="s">
        <v>6</v>
      </c>
      <c r="H42" s="58">
        <v>101</v>
      </c>
      <c r="I42" s="59" t="s">
        <v>2</v>
      </c>
      <c r="J42" s="59"/>
      <c r="K42" s="59"/>
      <c r="L42" s="59"/>
      <c r="M42" s="59"/>
      <c r="N42" s="59"/>
      <c r="O42" s="59"/>
      <c r="P42" s="59"/>
      <c r="Q42" s="59">
        <f>SUM(J42:P42)</f>
        <v>0</v>
      </c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P42" s="33"/>
      <c r="AQ42" s="33"/>
      <c r="AR42" s="33"/>
      <c r="AS42" s="33"/>
      <c r="AT42" s="33"/>
      <c r="AU42" s="33"/>
      <c r="AV42" s="33"/>
      <c r="AW42" s="60">
        <f>SUM(R42:AV42)</f>
        <v>0</v>
      </c>
    </row>
    <row r="43" spans="1:49" x14ac:dyDescent="0.2">
      <c r="A43" s="58">
        <v>13</v>
      </c>
      <c r="B43" s="58" t="b">
        <v>1</v>
      </c>
      <c r="C43" s="58"/>
      <c r="D43" s="33"/>
      <c r="E43" s="33"/>
      <c r="F43" s="33"/>
      <c r="G43" s="58" t="s">
        <v>6</v>
      </c>
      <c r="H43" s="58">
        <v>101</v>
      </c>
      <c r="I43" s="59" t="s">
        <v>2</v>
      </c>
      <c r="J43" s="59"/>
      <c r="K43" s="59"/>
      <c r="L43" s="59"/>
      <c r="M43" s="59"/>
      <c r="N43" s="59"/>
      <c r="O43" s="59"/>
      <c r="P43" s="59"/>
      <c r="Q43" s="59">
        <f>SUM(J43:P43)</f>
        <v>0</v>
      </c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60">
        <f>SUM(R43:AV43)</f>
        <v>0</v>
      </c>
    </row>
  </sheetData>
  <mergeCells count="1">
    <mergeCell ref="J1:Q1"/>
  </mergeCells>
  <conditionalFormatting sqref="R1:AW43">
    <cfRule type="expression" dxfId="1" priority="1" stopIfTrue="1">
      <formula>OR(WEEKDAY(R$1,2)=6,WEEKDAY(R$1,2)=7)</formula>
    </cfRule>
  </conditionalFormatting>
  <conditionalFormatting sqref="A2:F1048576">
    <cfRule type="expression" dxfId="0" priority="2" stopIfTrue="1">
      <formula>AND($B2&lt;&gt;"",NOT($B2))</formula>
    </cfRule>
  </conditionalFormatting>
  <pageMargins left="0.7" right="0.7" top="0.75" bottom="0.75" header="0.3" footer="0.3"/>
  <pageSetup paperSize="9" orientation="portrait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AL16"/>
  <sheetViews>
    <sheetView zoomScaleNormal="100" zoomScaleSheetLayoutView="100" workbookViewId="0">
      <pane ySplit="4" topLeftCell="A5" activePane="bottomLeft" state="frozen"/>
      <selection pane="bottomLeft" activeCell="F1" sqref="F1:AF2"/>
    </sheetView>
  </sheetViews>
  <sheetFormatPr defaultRowHeight="15" customHeight="1" x14ac:dyDescent="0.25"/>
  <cols>
    <col min="1" max="1" width="3.28515625" style="10" customWidth="1"/>
    <col min="2" max="2" width="10.7109375" style="10" customWidth="1"/>
    <col min="3" max="3" width="19.7109375" style="10" customWidth="1"/>
    <col min="4" max="5" width="14.7109375" style="10" customWidth="1"/>
    <col min="6" max="36" width="2.7109375" style="10" customWidth="1"/>
    <col min="37" max="38" width="6.7109375" style="10" customWidth="1"/>
    <col min="39" max="16384" width="9.140625" style="10"/>
  </cols>
  <sheetData>
    <row r="1" spans="1:38" ht="18" customHeight="1" x14ac:dyDescent="0.25">
      <c r="A1" s="55" t="s">
        <v>55</v>
      </c>
      <c r="B1" s="55"/>
      <c r="C1" s="56" t="s">
        <v>72</v>
      </c>
      <c r="D1" s="56"/>
      <c r="E1" s="56"/>
      <c r="F1" s="57" t="s">
        <v>52</v>
      </c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3" t="s">
        <v>48</v>
      </c>
      <c r="AH1" s="53"/>
      <c r="AI1" s="53"/>
      <c r="AJ1" s="53"/>
      <c r="AK1" s="53" t="s">
        <v>78</v>
      </c>
      <c r="AL1" s="53"/>
    </row>
    <row r="2" spans="1:38" ht="18" customHeight="1" x14ac:dyDescent="0.25">
      <c r="A2" s="55" t="s">
        <v>56</v>
      </c>
      <c r="B2" s="55"/>
      <c r="C2" s="56" t="s">
        <v>71</v>
      </c>
      <c r="D2" s="56"/>
      <c r="E2" s="56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3" t="s">
        <v>49</v>
      </c>
      <c r="AH2" s="53"/>
      <c r="AI2" s="53"/>
      <c r="AJ2" s="53"/>
      <c r="AK2" s="53">
        <v>2020</v>
      </c>
      <c r="AL2" s="53"/>
    </row>
    <row r="3" spans="1:38" ht="18" customHeight="1" x14ac:dyDescent="0.25">
      <c r="A3" s="55" t="s">
        <v>32</v>
      </c>
      <c r="B3" s="55"/>
      <c r="C3" s="55"/>
      <c r="D3" s="55"/>
      <c r="E3" s="55"/>
      <c r="F3" s="53" t="s">
        <v>44</v>
      </c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  <c r="AI3" s="53"/>
      <c r="AJ3" s="53"/>
      <c r="AK3" s="53" t="s">
        <v>47</v>
      </c>
      <c r="AL3" s="53"/>
    </row>
    <row r="4" spans="1:38" ht="15" customHeight="1" x14ac:dyDescent="0.25">
      <c r="A4" s="40" t="s">
        <v>31</v>
      </c>
      <c r="B4" s="40" t="s">
        <v>67</v>
      </c>
      <c r="C4" s="40" t="s">
        <v>33</v>
      </c>
      <c r="D4" s="40" t="s">
        <v>36</v>
      </c>
      <c r="E4" s="19" t="s">
        <v>54</v>
      </c>
      <c r="F4" s="16">
        <v>44044</v>
      </c>
      <c r="G4" s="16">
        <v>44045</v>
      </c>
      <c r="H4" s="16">
        <v>44046</v>
      </c>
      <c r="I4" s="16">
        <v>44047</v>
      </c>
      <c r="J4" s="16">
        <v>44048</v>
      </c>
      <c r="K4" s="16">
        <v>44049</v>
      </c>
      <c r="L4" s="16">
        <v>44050</v>
      </c>
      <c r="M4" s="16">
        <v>44051</v>
      </c>
      <c r="N4" s="16">
        <v>44052</v>
      </c>
      <c r="O4" s="16">
        <v>44053</v>
      </c>
      <c r="P4" s="16">
        <v>44054</v>
      </c>
      <c r="Q4" s="16">
        <v>44055</v>
      </c>
      <c r="R4" s="16">
        <v>44056</v>
      </c>
      <c r="S4" s="16">
        <v>44057</v>
      </c>
      <c r="T4" s="16">
        <v>44058</v>
      </c>
      <c r="U4" s="16">
        <v>44059</v>
      </c>
      <c r="V4" s="16">
        <v>44060</v>
      </c>
      <c r="W4" s="16">
        <v>44061</v>
      </c>
      <c r="X4" s="16">
        <v>44062</v>
      </c>
      <c r="Y4" s="16">
        <v>44063</v>
      </c>
      <c r="Z4" s="16">
        <v>44064</v>
      </c>
      <c r="AA4" s="16">
        <v>44065</v>
      </c>
      <c r="AB4" s="16">
        <v>44066</v>
      </c>
      <c r="AC4" s="16">
        <v>44067</v>
      </c>
      <c r="AD4" s="16">
        <v>44068</v>
      </c>
      <c r="AE4" s="16">
        <v>44069</v>
      </c>
      <c r="AF4" s="16">
        <v>44070</v>
      </c>
      <c r="AG4" s="16">
        <v>44071</v>
      </c>
      <c r="AH4" s="16">
        <v>44072</v>
      </c>
      <c r="AI4" s="16">
        <v>44073</v>
      </c>
      <c r="AJ4" s="16">
        <v>44074</v>
      </c>
      <c r="AK4" s="41" t="s">
        <v>45</v>
      </c>
      <c r="AL4" s="41" t="s">
        <v>46</v>
      </c>
    </row>
    <row r="5" spans="1:38" ht="15" customHeight="1" x14ac:dyDescent="0.2">
      <c r="A5" s="41">
        <v>1</v>
      </c>
      <c r="B5" s="33"/>
      <c r="C5" s="33"/>
      <c r="D5" s="17" t="s">
        <v>65</v>
      </c>
      <c r="E5" s="18" t="s">
        <v>2</v>
      </c>
      <c r="F5" s="17"/>
      <c r="G5" s="17"/>
      <c r="H5" s="17">
        <v>4</v>
      </c>
      <c r="I5" s="17">
        <v>3</v>
      </c>
      <c r="J5" s="17">
        <v>4</v>
      </c>
      <c r="K5" s="17">
        <v>3</v>
      </c>
      <c r="L5" s="17">
        <v>4</v>
      </c>
      <c r="M5" s="17"/>
      <c r="N5" s="17"/>
      <c r="O5" s="17">
        <v>4</v>
      </c>
      <c r="P5" s="17">
        <v>3</v>
      </c>
      <c r="Q5" s="17">
        <v>4</v>
      </c>
      <c r="R5" s="17">
        <v>3</v>
      </c>
      <c r="S5" s="17">
        <v>4</v>
      </c>
      <c r="T5" s="17"/>
      <c r="U5" s="17"/>
      <c r="V5" s="17">
        <v>4</v>
      </c>
      <c r="W5" s="17">
        <v>3</v>
      </c>
      <c r="X5" s="17">
        <v>4</v>
      </c>
      <c r="Y5" s="17">
        <v>3</v>
      </c>
      <c r="Z5" s="17">
        <v>4</v>
      </c>
      <c r="AA5" s="17"/>
      <c r="AB5" s="17"/>
      <c r="AC5" s="17">
        <v>4</v>
      </c>
      <c r="AD5" s="17">
        <v>3</v>
      </c>
      <c r="AE5" s="17">
        <v>4</v>
      </c>
      <c r="AF5" s="17">
        <v>3</v>
      </c>
      <c r="AG5" s="17">
        <v>4</v>
      </c>
      <c r="AH5" s="17"/>
      <c r="AI5" s="17"/>
      <c r="AJ5" s="17">
        <v>4</v>
      </c>
      <c r="AK5" s="17">
        <v>76</v>
      </c>
      <c r="AL5" s="41">
        <v>76</v>
      </c>
    </row>
    <row r="6" spans="1:38" ht="15" customHeight="1" x14ac:dyDescent="0.2">
      <c r="A6" s="41">
        <v>2</v>
      </c>
      <c r="B6" s="33"/>
      <c r="C6" s="33"/>
      <c r="D6" s="17" t="s">
        <v>65</v>
      </c>
      <c r="E6" s="18" t="s">
        <v>2</v>
      </c>
      <c r="F6" s="17"/>
      <c r="G6" s="17"/>
      <c r="H6" s="17">
        <v>4</v>
      </c>
      <c r="I6" s="17">
        <v>3</v>
      </c>
      <c r="J6" s="17">
        <v>4</v>
      </c>
      <c r="K6" s="17">
        <v>3</v>
      </c>
      <c r="L6" s="17">
        <v>4</v>
      </c>
      <c r="M6" s="17"/>
      <c r="N6" s="17"/>
      <c r="O6" s="17">
        <v>4</v>
      </c>
      <c r="P6" s="17">
        <v>3</v>
      </c>
      <c r="Q6" s="17">
        <v>4</v>
      </c>
      <c r="R6" s="17">
        <v>3</v>
      </c>
      <c r="S6" s="17">
        <v>4</v>
      </c>
      <c r="T6" s="17"/>
      <c r="U6" s="17"/>
      <c r="V6" s="17">
        <v>4</v>
      </c>
      <c r="W6" s="17">
        <v>3</v>
      </c>
      <c r="X6" s="17">
        <v>4</v>
      </c>
      <c r="Y6" s="17">
        <v>3</v>
      </c>
      <c r="Z6" s="17">
        <v>4</v>
      </c>
      <c r="AA6" s="17"/>
      <c r="AB6" s="17"/>
      <c r="AC6" s="17">
        <v>4</v>
      </c>
      <c r="AD6" s="17">
        <v>3</v>
      </c>
      <c r="AE6" s="17">
        <v>4</v>
      </c>
      <c r="AF6" s="17">
        <v>3</v>
      </c>
      <c r="AG6" s="17">
        <v>4</v>
      </c>
      <c r="AH6" s="17"/>
      <c r="AI6" s="17"/>
      <c r="AJ6" s="17">
        <v>4</v>
      </c>
      <c r="AK6" s="17">
        <v>76</v>
      </c>
      <c r="AL6" s="41">
        <v>76</v>
      </c>
    </row>
    <row r="7" spans="1:38" ht="15" customHeight="1" x14ac:dyDescent="0.2">
      <c r="A7" s="41">
        <v>3</v>
      </c>
      <c r="B7" s="33"/>
      <c r="C7" s="33"/>
      <c r="D7" s="17" t="s">
        <v>65</v>
      </c>
      <c r="E7" s="18" t="s">
        <v>2</v>
      </c>
      <c r="F7" s="17"/>
      <c r="G7" s="17"/>
      <c r="H7" s="17">
        <v>4</v>
      </c>
      <c r="I7" s="17">
        <v>3</v>
      </c>
      <c r="J7" s="17">
        <v>4</v>
      </c>
      <c r="K7" s="17">
        <v>3</v>
      </c>
      <c r="L7" s="17">
        <v>4</v>
      </c>
      <c r="M7" s="17"/>
      <c r="N7" s="17"/>
      <c r="O7" s="17">
        <v>4</v>
      </c>
      <c r="P7" s="17">
        <v>3</v>
      </c>
      <c r="Q7" s="17">
        <v>4</v>
      </c>
      <c r="R7" s="17">
        <v>3</v>
      </c>
      <c r="S7" s="17">
        <v>4</v>
      </c>
      <c r="T7" s="17"/>
      <c r="U7" s="17"/>
      <c r="V7" s="17">
        <v>4</v>
      </c>
      <c r="W7" s="17">
        <v>3</v>
      </c>
      <c r="X7" s="17">
        <v>4</v>
      </c>
      <c r="Y7" s="17">
        <v>3</v>
      </c>
      <c r="Z7" s="17">
        <v>4</v>
      </c>
      <c r="AA7" s="17"/>
      <c r="AB7" s="17"/>
      <c r="AC7" s="17">
        <v>4</v>
      </c>
      <c r="AD7" s="17">
        <v>3</v>
      </c>
      <c r="AE7" s="17">
        <v>4</v>
      </c>
      <c r="AF7" s="17">
        <v>3</v>
      </c>
      <c r="AG7" s="17">
        <v>4</v>
      </c>
      <c r="AH7" s="17"/>
      <c r="AI7" s="17"/>
      <c r="AJ7" s="17">
        <v>4</v>
      </c>
      <c r="AK7" s="17">
        <v>76</v>
      </c>
      <c r="AL7" s="41">
        <v>76</v>
      </c>
    </row>
    <row r="8" spans="1:38" ht="15" customHeight="1" x14ac:dyDescent="0.2">
      <c r="A8" s="41">
        <v>4</v>
      </c>
      <c r="B8" s="33"/>
      <c r="C8" s="33"/>
      <c r="D8" s="17" t="s">
        <v>65</v>
      </c>
      <c r="E8" s="18" t="s">
        <v>2</v>
      </c>
      <c r="F8" s="17"/>
      <c r="G8" s="17"/>
      <c r="H8" s="17">
        <v>4</v>
      </c>
      <c r="I8" s="17">
        <v>3</v>
      </c>
      <c r="J8" s="17">
        <v>4</v>
      </c>
      <c r="K8" s="17">
        <v>3</v>
      </c>
      <c r="L8" s="17">
        <v>4</v>
      </c>
      <c r="M8" s="17"/>
      <c r="N8" s="17"/>
      <c r="O8" s="17">
        <v>4</v>
      </c>
      <c r="P8" s="17">
        <v>3</v>
      </c>
      <c r="Q8" s="17">
        <v>4</v>
      </c>
      <c r="R8" s="17">
        <v>3</v>
      </c>
      <c r="S8" s="17">
        <v>4</v>
      </c>
      <c r="T8" s="17"/>
      <c r="U8" s="17"/>
      <c r="V8" s="17">
        <v>4</v>
      </c>
      <c r="W8" s="17">
        <v>3</v>
      </c>
      <c r="X8" s="17">
        <v>4</v>
      </c>
      <c r="Y8" s="17">
        <v>3</v>
      </c>
      <c r="Z8" s="17">
        <v>4</v>
      </c>
      <c r="AA8" s="17"/>
      <c r="AB8" s="17"/>
      <c r="AC8" s="17">
        <v>4</v>
      </c>
      <c r="AD8" s="17">
        <v>3</v>
      </c>
      <c r="AE8" s="17">
        <v>4</v>
      </c>
      <c r="AF8" s="17">
        <v>3</v>
      </c>
      <c r="AG8" s="17">
        <v>4</v>
      </c>
      <c r="AH8" s="17"/>
      <c r="AI8" s="17"/>
      <c r="AJ8" s="17">
        <v>4</v>
      </c>
      <c r="AK8" s="17">
        <v>76</v>
      </c>
      <c r="AL8" s="41">
        <v>76</v>
      </c>
    </row>
    <row r="9" spans="1:38" ht="15" customHeight="1" x14ac:dyDescent="0.25">
      <c r="A9" s="47" t="str">
        <f>"Yukarıda belirtilen görevlilerce "&amp;AK2&amp;" yılının "&amp;AK1&amp;" ayında toplam "&amp;AL9&amp;"("&amp;YAZ(AL9)&amp;") saat ekders okutulmuştur."</f>
        <v>Yukarıda belirtilen görevlilerce 2020 yılının Ağustos ayında toplam 304(ÜçyüzDört) saat ekders okutulmuştur.</v>
      </c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9"/>
      <c r="AF9" s="44" t="s">
        <v>0</v>
      </c>
      <c r="AG9" s="45"/>
      <c r="AH9" s="45"/>
      <c r="AI9" s="45"/>
      <c r="AJ9" s="46"/>
      <c r="AK9" s="35">
        <f>SUM(AK5:AK8)</f>
        <v>304</v>
      </c>
      <c r="AL9" s="36">
        <v>304</v>
      </c>
    </row>
    <row r="10" spans="1:38" ht="15" customHeight="1" x14ac:dyDescent="0.25">
      <c r="A10" s="52" t="e">
        <f>"Yukarıda belirtilen görevlilerce "&amp;#REF!&amp;" yılının "&amp;#REF!&amp;" ayında toplam "&amp;#REF!&amp;"("&amp;YAZ(#REF!)&amp;") saat ekders okutulmuştur."</f>
        <v>#REF!</v>
      </c>
      <c r="B10" s="53"/>
      <c r="C10" s="53"/>
      <c r="D10" s="53"/>
      <c r="E10" s="53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</row>
    <row r="11" spans="1:38" ht="15" customHeight="1" x14ac:dyDescent="0.25">
      <c r="C11" s="38" t="s">
        <v>50</v>
      </c>
      <c r="AB11" s="50" t="s">
        <v>51</v>
      </c>
      <c r="AC11" s="50"/>
      <c r="AD11" s="50"/>
      <c r="AE11" s="50"/>
      <c r="AF11" s="50"/>
      <c r="AG11" s="50"/>
      <c r="AH11" s="50"/>
      <c r="AI11" s="50"/>
      <c r="AJ11" s="50"/>
    </row>
    <row r="12" spans="1:38" ht="15" customHeight="1" x14ac:dyDescent="0.25">
      <c r="C12" s="39">
        <v>44550</v>
      </c>
      <c r="AB12" s="54">
        <v>44550</v>
      </c>
      <c r="AC12" s="54"/>
      <c r="AD12" s="54"/>
      <c r="AE12" s="54"/>
      <c r="AF12" s="54"/>
      <c r="AG12" s="54"/>
      <c r="AH12" s="54"/>
      <c r="AI12" s="54"/>
      <c r="AJ12" s="54"/>
    </row>
    <row r="13" spans="1:38" ht="15" customHeight="1" x14ac:dyDescent="0.25">
      <c r="C13" s="39">
        <v>44069</v>
      </c>
      <c r="AB13" s="38"/>
    </row>
    <row r="14" spans="1:38" ht="15" customHeight="1" x14ac:dyDescent="0.25">
      <c r="C14" s="38"/>
      <c r="AB14" s="51"/>
      <c r="AC14" s="51"/>
      <c r="AD14" s="51"/>
      <c r="AE14" s="51"/>
      <c r="AF14" s="51"/>
      <c r="AG14" s="51"/>
      <c r="AH14" s="51"/>
      <c r="AI14" s="51"/>
      <c r="AJ14" s="51"/>
    </row>
    <row r="15" spans="1:38" ht="15" customHeight="1" x14ac:dyDescent="0.25">
      <c r="C15" s="38" t="s">
        <v>74</v>
      </c>
      <c r="AB15" s="51" t="s">
        <v>70</v>
      </c>
      <c r="AC15" s="51"/>
      <c r="AD15" s="51"/>
      <c r="AE15" s="51"/>
      <c r="AF15" s="51"/>
      <c r="AG15" s="51"/>
      <c r="AH15" s="51"/>
      <c r="AI15" s="51"/>
      <c r="AJ15" s="51"/>
    </row>
    <row r="16" spans="1:38" ht="15" customHeight="1" x14ac:dyDescent="0.25">
      <c r="C16" s="37" t="s">
        <v>77</v>
      </c>
    </row>
  </sheetData>
  <mergeCells count="19">
    <mergeCell ref="AK3:AL3"/>
    <mergeCell ref="AG1:AJ1"/>
    <mergeCell ref="AG2:AJ2"/>
    <mergeCell ref="AK1:AL1"/>
    <mergeCell ref="AK2:AL2"/>
    <mergeCell ref="AB15:AJ15"/>
    <mergeCell ref="A1:B1"/>
    <mergeCell ref="A2:B2"/>
    <mergeCell ref="A3:E3"/>
    <mergeCell ref="C2:E2"/>
    <mergeCell ref="C1:E1"/>
    <mergeCell ref="F3:AJ3"/>
    <mergeCell ref="F1:AF2"/>
    <mergeCell ref="AF9:AJ9"/>
    <mergeCell ref="A9:AE9"/>
    <mergeCell ref="AB11:AJ11"/>
    <mergeCell ref="AB14:AJ14"/>
    <mergeCell ref="A10:E10"/>
    <mergeCell ref="AB12:AJ12"/>
  </mergeCells>
  <conditionalFormatting sqref="C5:C8">
    <cfRule type="expression" dxfId="6" priority="2" stopIfTrue="1">
      <formula>AND($B5&lt;&gt;"",NOT($B5))</formula>
    </cfRule>
  </conditionalFormatting>
  <conditionalFormatting sqref="B5:B8">
    <cfRule type="expression" dxfId="5" priority="1" stopIfTrue="1">
      <formula>AND($B5&lt;&gt;"",NOT($B5))</formula>
    </cfRule>
  </conditionalFormatting>
  <conditionalFormatting sqref="F4:AJ8">
    <cfRule type="expression" dxfId="4" priority="3" stopIfTrue="1">
      <formula>OR(WEEKDAY(F$4,2)=6,WEEKDAY(F$4,2)=7)</formula>
    </cfRule>
  </conditionalFormatting>
  <printOptions horizontalCentered="1"/>
  <pageMargins left="0.19685039370078741" right="0.19685039370078741" top="0.39370078740157483" bottom="0.39370078740157483" header="0.31496062992125984" footer="0.31496062992125984"/>
  <pageSetup paperSize="9" scale="7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1:C50"/>
  <sheetViews>
    <sheetView workbookViewId="0"/>
  </sheetViews>
  <sheetFormatPr defaultRowHeight="15" x14ac:dyDescent="0.25"/>
  <cols>
    <col min="1" max="1" width="6" customWidth="1"/>
    <col min="2" max="2" width="14.42578125" style="14" customWidth="1"/>
    <col min="3" max="3" width="36" style="3" customWidth="1"/>
  </cols>
  <sheetData>
    <row r="1" spans="1:3" x14ac:dyDescent="0.25">
      <c r="A1" s="5" t="s">
        <v>31</v>
      </c>
      <c r="B1" s="12" t="s">
        <v>17</v>
      </c>
      <c r="C1" s="5" t="s">
        <v>16</v>
      </c>
    </row>
    <row r="2" spans="1:3" x14ac:dyDescent="0.25">
      <c r="A2" s="6">
        <v>1</v>
      </c>
      <c r="B2" s="15">
        <v>101</v>
      </c>
      <c r="C2" s="7" t="s">
        <v>2</v>
      </c>
    </row>
    <row r="3" spans="1:3" x14ac:dyDescent="0.25">
      <c r="A3" s="8">
        <v>2</v>
      </c>
      <c r="B3" s="13">
        <v>102</v>
      </c>
      <c r="C3" s="7" t="s">
        <v>18</v>
      </c>
    </row>
    <row r="4" spans="1:3" x14ac:dyDescent="0.25">
      <c r="A4" s="6">
        <v>3</v>
      </c>
      <c r="B4" s="11">
        <v>103</v>
      </c>
      <c r="C4" s="7" t="s">
        <v>19</v>
      </c>
    </row>
    <row r="5" spans="1:3" x14ac:dyDescent="0.25">
      <c r="A5" s="8">
        <v>4</v>
      </c>
      <c r="B5" s="13">
        <v>104</v>
      </c>
      <c r="C5" s="7" t="s">
        <v>20</v>
      </c>
    </row>
    <row r="6" spans="1:3" x14ac:dyDescent="0.25">
      <c r="A6" s="8">
        <v>5</v>
      </c>
      <c r="B6" s="13">
        <v>106</v>
      </c>
      <c r="C6" s="7" t="s">
        <v>21</v>
      </c>
    </row>
    <row r="7" spans="1:3" x14ac:dyDescent="0.25">
      <c r="A7" s="8">
        <v>6</v>
      </c>
      <c r="B7" s="13">
        <v>107</v>
      </c>
      <c r="C7" s="7" t="s">
        <v>22</v>
      </c>
    </row>
    <row r="8" spans="1:3" x14ac:dyDescent="0.25">
      <c r="A8" s="6">
        <v>7</v>
      </c>
      <c r="B8" s="11">
        <v>108</v>
      </c>
      <c r="C8" s="7" t="s">
        <v>15</v>
      </c>
    </row>
    <row r="9" spans="1:3" x14ac:dyDescent="0.25">
      <c r="A9" s="8">
        <v>8</v>
      </c>
      <c r="B9" s="13">
        <v>109</v>
      </c>
      <c r="C9" s="7" t="s">
        <v>61</v>
      </c>
    </row>
    <row r="10" spans="1:3" x14ac:dyDescent="0.25">
      <c r="A10" s="8">
        <v>9</v>
      </c>
      <c r="B10" s="13">
        <v>110</v>
      </c>
      <c r="C10" s="7" t="s">
        <v>23</v>
      </c>
    </row>
    <row r="11" spans="1:3" x14ac:dyDescent="0.25">
      <c r="A11" s="6">
        <v>10</v>
      </c>
      <c r="B11" s="11">
        <v>111</v>
      </c>
      <c r="C11" s="7" t="s">
        <v>24</v>
      </c>
    </row>
    <row r="12" spans="1:3" x14ac:dyDescent="0.25">
      <c r="A12" s="8">
        <v>11</v>
      </c>
      <c r="B12" s="13">
        <v>112</v>
      </c>
      <c r="C12" s="7" t="s">
        <v>25</v>
      </c>
    </row>
    <row r="13" spans="1:3" x14ac:dyDescent="0.25">
      <c r="A13" s="8">
        <v>12</v>
      </c>
      <c r="B13" s="13">
        <v>113</v>
      </c>
      <c r="C13" s="7" t="s">
        <v>26</v>
      </c>
    </row>
    <row r="14" spans="1:3" x14ac:dyDescent="0.25">
      <c r="A14" s="8">
        <v>13</v>
      </c>
      <c r="B14" s="13">
        <v>114</v>
      </c>
      <c r="C14" s="7" t="s">
        <v>27</v>
      </c>
    </row>
    <row r="15" spans="1:3" x14ac:dyDescent="0.25">
      <c r="A15" s="8">
        <v>14</v>
      </c>
      <c r="B15" s="13">
        <v>115</v>
      </c>
      <c r="C15" s="7" t="s">
        <v>28</v>
      </c>
    </row>
    <row r="16" spans="1:3" x14ac:dyDescent="0.25">
      <c r="A16" s="8">
        <v>15</v>
      </c>
      <c r="B16" s="13">
        <v>116</v>
      </c>
      <c r="C16" s="7" t="s">
        <v>60</v>
      </c>
    </row>
    <row r="17" spans="1:3" x14ac:dyDescent="0.25">
      <c r="A17" s="8">
        <v>16</v>
      </c>
      <c r="B17" s="13">
        <v>117</v>
      </c>
      <c r="C17" s="7" t="s">
        <v>59</v>
      </c>
    </row>
    <row r="18" spans="1:3" x14ac:dyDescent="0.25">
      <c r="A18" s="8">
        <v>17</v>
      </c>
      <c r="B18" s="13">
        <v>118</v>
      </c>
      <c r="C18" s="7" t="s">
        <v>58</v>
      </c>
    </row>
    <row r="19" spans="1:3" x14ac:dyDescent="0.25">
      <c r="A19" s="8">
        <v>18</v>
      </c>
      <c r="B19" s="13">
        <v>119</v>
      </c>
      <c r="C19" s="7" t="s">
        <v>57</v>
      </c>
    </row>
    <row r="20" spans="1:3" x14ac:dyDescent="0.25">
      <c r="A20" s="8"/>
      <c r="B20" s="13"/>
      <c r="C20" s="7"/>
    </row>
    <row r="21" spans="1:3" x14ac:dyDescent="0.25">
      <c r="A21" s="8"/>
      <c r="B21" s="13"/>
      <c r="C21" s="7"/>
    </row>
    <row r="22" spans="1:3" x14ac:dyDescent="0.25">
      <c r="A22" s="8"/>
      <c r="B22" s="13"/>
      <c r="C22" s="7"/>
    </row>
    <row r="23" spans="1:3" x14ac:dyDescent="0.25">
      <c r="A23" s="8"/>
      <c r="B23" s="13"/>
      <c r="C23" s="7"/>
    </row>
    <row r="24" spans="1:3" x14ac:dyDescent="0.25">
      <c r="A24" s="8"/>
      <c r="B24" s="13"/>
      <c r="C24" s="7"/>
    </row>
    <row r="25" spans="1:3" x14ac:dyDescent="0.25">
      <c r="A25" s="8"/>
      <c r="B25" s="13"/>
      <c r="C25" s="7"/>
    </row>
    <row r="26" spans="1:3" x14ac:dyDescent="0.25">
      <c r="A26" s="8"/>
      <c r="B26" s="13"/>
      <c r="C26" s="7"/>
    </row>
    <row r="27" spans="1:3" x14ac:dyDescent="0.25">
      <c r="A27" s="8"/>
      <c r="B27" s="13"/>
      <c r="C27" s="7"/>
    </row>
    <row r="28" spans="1:3" x14ac:dyDescent="0.25">
      <c r="A28" s="8"/>
      <c r="B28" s="13"/>
      <c r="C28" s="7"/>
    </row>
    <row r="29" spans="1:3" x14ac:dyDescent="0.25">
      <c r="A29" s="8"/>
      <c r="B29" s="13"/>
      <c r="C29" s="7"/>
    </row>
    <row r="30" spans="1:3" x14ac:dyDescent="0.25">
      <c r="A30" s="8"/>
      <c r="B30" s="13"/>
      <c r="C30" s="7"/>
    </row>
    <row r="31" spans="1:3" x14ac:dyDescent="0.25">
      <c r="A31" s="8"/>
      <c r="B31" s="13"/>
      <c r="C31" s="7"/>
    </row>
    <row r="32" spans="1:3" x14ac:dyDescent="0.25">
      <c r="A32" s="8"/>
      <c r="B32" s="13"/>
      <c r="C32" s="7"/>
    </row>
    <row r="33" spans="1:3" x14ac:dyDescent="0.25">
      <c r="A33" s="8"/>
      <c r="B33" s="13"/>
      <c r="C33" s="7"/>
    </row>
    <row r="34" spans="1:3" x14ac:dyDescent="0.25">
      <c r="A34" s="8"/>
      <c r="B34" s="13"/>
      <c r="C34" s="7"/>
    </row>
    <row r="35" spans="1:3" x14ac:dyDescent="0.25">
      <c r="A35" s="8"/>
      <c r="B35" s="13"/>
      <c r="C35" s="7"/>
    </row>
    <row r="36" spans="1:3" x14ac:dyDescent="0.25">
      <c r="A36" s="8"/>
      <c r="B36" s="13"/>
      <c r="C36" s="7"/>
    </row>
    <row r="37" spans="1:3" x14ac:dyDescent="0.25">
      <c r="A37" s="8"/>
      <c r="B37" s="13"/>
      <c r="C37" s="7"/>
    </row>
    <row r="38" spans="1:3" x14ac:dyDescent="0.25">
      <c r="A38" s="8"/>
      <c r="B38" s="13"/>
      <c r="C38" s="7"/>
    </row>
    <row r="39" spans="1:3" x14ac:dyDescent="0.25">
      <c r="A39" s="8"/>
      <c r="B39" s="13"/>
      <c r="C39" s="7"/>
    </row>
    <row r="40" spans="1:3" x14ac:dyDescent="0.25">
      <c r="A40" s="8"/>
      <c r="B40" s="13"/>
      <c r="C40" s="7"/>
    </row>
    <row r="41" spans="1:3" x14ac:dyDescent="0.25">
      <c r="A41" s="8"/>
      <c r="B41" s="13"/>
      <c r="C41" s="7"/>
    </row>
    <row r="42" spans="1:3" x14ac:dyDescent="0.25">
      <c r="A42" s="8"/>
      <c r="B42" s="13"/>
      <c r="C42" s="7"/>
    </row>
    <row r="43" spans="1:3" x14ac:dyDescent="0.25">
      <c r="A43" s="8"/>
      <c r="B43" s="13"/>
      <c r="C43" s="7"/>
    </row>
    <row r="44" spans="1:3" x14ac:dyDescent="0.25">
      <c r="A44" s="8"/>
      <c r="B44" s="13"/>
      <c r="C44" s="7"/>
    </row>
    <row r="45" spans="1:3" x14ac:dyDescent="0.25">
      <c r="A45" s="8"/>
      <c r="B45" s="13"/>
      <c r="C45" s="7"/>
    </row>
    <row r="46" spans="1:3" x14ac:dyDescent="0.25">
      <c r="A46" s="8"/>
      <c r="B46" s="13"/>
      <c r="C46" s="7"/>
    </row>
    <row r="47" spans="1:3" x14ac:dyDescent="0.25">
      <c r="A47" s="8"/>
      <c r="B47" s="13"/>
      <c r="C47" s="7"/>
    </row>
    <row r="48" spans="1:3" x14ac:dyDescent="0.25">
      <c r="A48" s="8"/>
      <c r="B48" s="13"/>
      <c r="C48" s="7"/>
    </row>
    <row r="49" spans="1:3" x14ac:dyDescent="0.25">
      <c r="A49" s="8"/>
      <c r="B49" s="13"/>
      <c r="C49" s="7"/>
    </row>
    <row r="50" spans="1:3" x14ac:dyDescent="0.25">
      <c r="A50" s="8"/>
      <c r="B50" s="13"/>
      <c r="C50" s="7"/>
    </row>
  </sheetData>
  <conditionalFormatting sqref="A1:C14">
    <cfRule type="expression" dxfId="3" priority="2">
      <formula>AND($C1&lt;&gt;"",MOD(ROW(),2)=0)</formula>
    </cfRule>
  </conditionalFormatting>
  <conditionalFormatting sqref="A15:C50">
    <cfRule type="expression" dxfId="2" priority="1">
      <formula>AND($C15&lt;&gt;"",MOD(ROW(),2)=0)</formula>
    </cfRule>
  </conditionalFormatting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C12"/>
  <sheetViews>
    <sheetView workbookViewId="0"/>
  </sheetViews>
  <sheetFormatPr defaultRowHeight="15" x14ac:dyDescent="0.25"/>
  <cols>
    <col min="1" max="1" width="10.140625" bestFit="1" customWidth="1"/>
  </cols>
  <sheetData>
    <row r="1" spans="1:3" x14ac:dyDescent="0.25">
      <c r="A1" s="9">
        <v>43009</v>
      </c>
    </row>
    <row r="2" spans="1:3" x14ac:dyDescent="0.25">
      <c r="A2" s="9">
        <v>43039</v>
      </c>
    </row>
    <row r="3" spans="1:3" x14ac:dyDescent="0.25">
      <c r="A3" t="s">
        <v>79</v>
      </c>
    </row>
    <row r="4" spans="1:3" x14ac:dyDescent="0.25">
      <c r="A4" t="s">
        <v>74</v>
      </c>
    </row>
    <row r="5" spans="1:3" x14ac:dyDescent="0.25">
      <c r="A5" t="s">
        <v>79</v>
      </c>
    </row>
    <row r="6" spans="1:3" x14ac:dyDescent="0.25">
      <c r="A6" t="s">
        <v>70</v>
      </c>
    </row>
    <row r="7" spans="1:3" x14ac:dyDescent="0.25">
      <c r="A7" t="s">
        <v>79</v>
      </c>
    </row>
    <row r="8" spans="1:3" x14ac:dyDescent="0.25">
      <c r="A8" t="s">
        <v>79</v>
      </c>
    </row>
    <row r="9" spans="1:3" x14ac:dyDescent="0.25">
      <c r="A9">
        <v>0</v>
      </c>
    </row>
    <row r="10" spans="1:3" x14ac:dyDescent="0.25">
      <c r="A10">
        <v>0</v>
      </c>
    </row>
    <row r="11" spans="1:3" x14ac:dyDescent="0.25">
      <c r="A11">
        <v>1</v>
      </c>
      <c r="B11">
        <v>100</v>
      </c>
      <c r="C11" t="s">
        <v>62</v>
      </c>
    </row>
    <row r="12" spans="1:3" x14ac:dyDescent="0.25">
      <c r="A12" t="b">
        <v>0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AX79"/>
  <sheetViews>
    <sheetView tabSelected="1" workbookViewId="0">
      <selection activeCell="D7" sqref="D7"/>
    </sheetView>
  </sheetViews>
  <sheetFormatPr defaultRowHeight="15" x14ac:dyDescent="0.25"/>
  <cols>
    <col min="1" max="1" width="20.28515625" bestFit="1" customWidth="1"/>
    <col min="2" max="2" width="4.5703125" bestFit="1" customWidth="1"/>
    <col min="3" max="3" width="7.42578125" bestFit="1" customWidth="1"/>
    <col min="4" max="4" width="19.28515625" bestFit="1" customWidth="1"/>
    <col min="5" max="5" width="12.5703125" bestFit="1" customWidth="1"/>
    <col min="6" max="6" width="17.42578125" customWidth="1"/>
    <col min="7" max="7" width="12" bestFit="1" customWidth="1"/>
    <col min="8" max="8" width="7.5703125" bestFit="1" customWidth="1"/>
    <col min="9" max="9" width="7.85546875" bestFit="1" customWidth="1"/>
    <col min="10" max="10" width="27.140625" bestFit="1" customWidth="1"/>
    <col min="11" max="11" width="2.85546875" bestFit="1" customWidth="1"/>
    <col min="12" max="12" width="3" bestFit="1" customWidth="1"/>
    <col min="13" max="14" width="2.85546875" bestFit="1" customWidth="1"/>
    <col min="15" max="15" width="3.85546875" bestFit="1" customWidth="1"/>
    <col min="16" max="16" width="2.85546875" bestFit="1" customWidth="1"/>
    <col min="17" max="17" width="3" bestFit="1" customWidth="1"/>
    <col min="18" max="18" width="8.42578125" bestFit="1" customWidth="1"/>
    <col min="19" max="51" width="2" bestFit="1" customWidth="1"/>
    <col min="52" max="52" width="4" bestFit="1" customWidth="1"/>
  </cols>
  <sheetData>
    <row r="1" spans="1:50" x14ac:dyDescent="0.25">
      <c r="A1" s="34" t="s">
        <v>63</v>
      </c>
      <c r="B1" s="34" t="s">
        <v>31</v>
      </c>
      <c r="C1" s="34" t="s">
        <v>34</v>
      </c>
      <c r="D1" s="34" t="s">
        <v>53</v>
      </c>
      <c r="E1" s="34" t="s">
        <v>5</v>
      </c>
      <c r="F1" s="34" t="s">
        <v>35</v>
      </c>
      <c r="G1" s="34" t="s">
        <v>4</v>
      </c>
      <c r="H1" s="34" t="s">
        <v>64</v>
      </c>
      <c r="I1" s="34" t="s">
        <v>1</v>
      </c>
      <c r="J1" s="34" t="s">
        <v>3</v>
      </c>
      <c r="K1" s="34" t="s">
        <v>11</v>
      </c>
      <c r="L1" s="34" t="s">
        <v>12</v>
      </c>
      <c r="M1" s="34" t="s">
        <v>8</v>
      </c>
      <c r="N1" s="34" t="s">
        <v>9</v>
      </c>
      <c r="O1" s="34" t="s">
        <v>10</v>
      </c>
      <c r="P1" s="34" t="s">
        <v>13</v>
      </c>
      <c r="Q1" s="34" t="s">
        <v>14</v>
      </c>
      <c r="R1" s="34" t="s">
        <v>0</v>
      </c>
    </row>
    <row r="2" spans="1:50" x14ac:dyDescent="0.25">
      <c r="A2" t="s">
        <v>69</v>
      </c>
      <c r="B2">
        <v>1</v>
      </c>
      <c r="C2" t="b">
        <v>1</v>
      </c>
      <c r="H2" t="s">
        <v>6</v>
      </c>
      <c r="I2">
        <v>101</v>
      </c>
      <c r="J2" t="s">
        <v>2</v>
      </c>
      <c r="K2">
        <v>4</v>
      </c>
      <c r="L2">
        <v>3</v>
      </c>
      <c r="M2">
        <v>4</v>
      </c>
      <c r="N2">
        <v>3</v>
      </c>
      <c r="O2">
        <v>4</v>
      </c>
      <c r="R2" t="e">
        <f>SUM(#REF!)</f>
        <v>#REF!</v>
      </c>
      <c r="S2">
        <v>4</v>
      </c>
      <c r="T2">
        <v>3</v>
      </c>
      <c r="U2">
        <v>4</v>
      </c>
      <c r="X2">
        <v>4</v>
      </c>
      <c r="Y2">
        <v>3</v>
      </c>
      <c r="Z2">
        <v>4</v>
      </c>
      <c r="AA2">
        <v>3</v>
      </c>
      <c r="AB2">
        <v>4</v>
      </c>
      <c r="AE2">
        <v>4</v>
      </c>
      <c r="AF2">
        <v>3</v>
      </c>
      <c r="AG2">
        <v>4</v>
      </c>
      <c r="AH2">
        <v>3</v>
      </c>
      <c r="AI2">
        <v>4</v>
      </c>
      <c r="AL2">
        <v>4</v>
      </c>
      <c r="AM2">
        <v>3</v>
      </c>
      <c r="AN2">
        <v>4</v>
      </c>
      <c r="AO2">
        <v>3</v>
      </c>
      <c r="AP2">
        <v>4</v>
      </c>
      <c r="AS2">
        <v>4</v>
      </c>
      <c r="AT2">
        <v>3</v>
      </c>
      <c r="AU2">
        <v>4</v>
      </c>
      <c r="AV2">
        <v>3</v>
      </c>
      <c r="AW2" t="e">
        <f>SUM(#REF!)</f>
        <v>#REF!</v>
      </c>
    </row>
    <row r="3" spans="1:50" x14ac:dyDescent="0.25">
      <c r="A3" t="s">
        <v>69</v>
      </c>
      <c r="B3">
        <v>2</v>
      </c>
      <c r="C3" t="b">
        <v>1</v>
      </c>
      <c r="H3" t="s">
        <v>6</v>
      </c>
      <c r="I3">
        <v>101</v>
      </c>
      <c r="J3" t="s">
        <v>2</v>
      </c>
      <c r="K3">
        <v>4</v>
      </c>
      <c r="L3">
        <v>3</v>
      </c>
      <c r="M3">
        <v>4</v>
      </c>
      <c r="N3">
        <v>3</v>
      </c>
      <c r="O3">
        <v>4</v>
      </c>
      <c r="R3" t="e">
        <f>SUM(#REF!)</f>
        <v>#REF!</v>
      </c>
      <c r="S3">
        <v>4</v>
      </c>
      <c r="T3">
        <v>3</v>
      </c>
      <c r="U3">
        <v>4</v>
      </c>
      <c r="X3">
        <v>4</v>
      </c>
      <c r="Y3">
        <v>3</v>
      </c>
      <c r="Z3">
        <v>4</v>
      </c>
      <c r="AA3">
        <v>3</v>
      </c>
      <c r="AB3">
        <v>4</v>
      </c>
      <c r="AE3">
        <v>4</v>
      </c>
      <c r="AF3">
        <v>3</v>
      </c>
      <c r="AG3">
        <v>4</v>
      </c>
      <c r="AH3">
        <v>3</v>
      </c>
      <c r="AI3">
        <v>4</v>
      </c>
      <c r="AL3">
        <v>4</v>
      </c>
      <c r="AM3">
        <v>3</v>
      </c>
      <c r="AN3">
        <v>4</v>
      </c>
      <c r="AO3">
        <v>3</v>
      </c>
      <c r="AP3">
        <v>4</v>
      </c>
      <c r="AS3">
        <v>4</v>
      </c>
      <c r="AT3">
        <v>3</v>
      </c>
      <c r="AU3">
        <v>4</v>
      </c>
      <c r="AV3">
        <v>3</v>
      </c>
      <c r="AW3" t="e">
        <f>SUM(#REF!)</f>
        <v>#REF!</v>
      </c>
    </row>
    <row r="4" spans="1:50" x14ac:dyDescent="0.25">
      <c r="A4" t="s">
        <v>69</v>
      </c>
      <c r="B4">
        <v>3</v>
      </c>
      <c r="C4" t="b">
        <v>1</v>
      </c>
      <c r="H4" t="s">
        <v>6</v>
      </c>
      <c r="I4">
        <v>101</v>
      </c>
      <c r="J4" t="s">
        <v>2</v>
      </c>
      <c r="K4">
        <v>3</v>
      </c>
      <c r="L4">
        <v>3</v>
      </c>
      <c r="M4">
        <v>3</v>
      </c>
      <c r="N4">
        <v>3</v>
      </c>
      <c r="O4">
        <v>3</v>
      </c>
      <c r="R4" t="e">
        <f>SUM(#REF!)</f>
        <v>#REF!</v>
      </c>
      <c r="S4">
        <v>3</v>
      </c>
      <c r="T4">
        <v>3</v>
      </c>
      <c r="U4">
        <v>3</v>
      </c>
      <c r="X4">
        <v>3</v>
      </c>
      <c r="Y4">
        <v>3</v>
      </c>
      <c r="Z4">
        <v>3</v>
      </c>
      <c r="AA4">
        <v>3</v>
      </c>
      <c r="AB4">
        <v>3</v>
      </c>
      <c r="AE4">
        <v>3</v>
      </c>
      <c r="AF4">
        <v>3</v>
      </c>
      <c r="AG4">
        <v>3</v>
      </c>
      <c r="AH4">
        <v>3</v>
      </c>
      <c r="AI4">
        <v>3</v>
      </c>
      <c r="AL4">
        <v>3</v>
      </c>
      <c r="AM4">
        <v>3</v>
      </c>
      <c r="AN4">
        <v>3</v>
      </c>
      <c r="AO4">
        <v>3</v>
      </c>
      <c r="AP4">
        <v>3</v>
      </c>
      <c r="AS4">
        <v>3</v>
      </c>
      <c r="AT4">
        <v>3</v>
      </c>
      <c r="AU4">
        <v>3</v>
      </c>
      <c r="AV4">
        <v>3</v>
      </c>
      <c r="AW4" t="e">
        <f>SUM(#REF!)</f>
        <v>#REF!</v>
      </c>
    </row>
    <row r="5" spans="1:50" x14ac:dyDescent="0.25">
      <c r="A5" t="s">
        <v>69</v>
      </c>
      <c r="H5" t="s">
        <v>7</v>
      </c>
      <c r="I5">
        <v>119</v>
      </c>
      <c r="J5" t="s">
        <v>57</v>
      </c>
      <c r="L5">
        <v>3</v>
      </c>
      <c r="R5" t="e">
        <f>SUM(#REF!)</f>
        <v>#REF!</v>
      </c>
      <c r="Y5">
        <v>3</v>
      </c>
      <c r="AF5">
        <v>3</v>
      </c>
      <c r="AM5">
        <v>3</v>
      </c>
      <c r="AT5">
        <v>3</v>
      </c>
      <c r="AW5" t="e">
        <f>SUM(#REF!)</f>
        <v>#REF!</v>
      </c>
    </row>
    <row r="6" spans="1:50" x14ac:dyDescent="0.25">
      <c r="A6" t="s">
        <v>68</v>
      </c>
      <c r="B6">
        <v>1</v>
      </c>
      <c r="C6" t="b">
        <v>1</v>
      </c>
      <c r="H6" t="s">
        <v>6</v>
      </c>
      <c r="I6">
        <v>101</v>
      </c>
      <c r="J6" t="s">
        <v>2</v>
      </c>
      <c r="AX6" t="e">
        <f>SUM(R3:AV3)</f>
        <v>#REF!</v>
      </c>
    </row>
    <row r="7" spans="1:50" x14ac:dyDescent="0.25">
      <c r="A7" t="s">
        <v>68</v>
      </c>
      <c r="H7" t="s">
        <v>7</v>
      </c>
      <c r="I7">
        <v>117</v>
      </c>
      <c r="J7" t="s">
        <v>59</v>
      </c>
      <c r="AX7" t="e">
        <f>SUM(R4:AV4)</f>
        <v>#REF!</v>
      </c>
    </row>
    <row r="8" spans="1:50" x14ac:dyDescent="0.25">
      <c r="A8" t="s">
        <v>68</v>
      </c>
      <c r="B8">
        <v>2</v>
      </c>
      <c r="C8" t="b">
        <v>1</v>
      </c>
      <c r="H8" t="s">
        <v>6</v>
      </c>
      <c r="I8">
        <v>101</v>
      </c>
      <c r="J8" t="s">
        <v>2</v>
      </c>
      <c r="AX8" t="e">
        <f>SUM(R5:AV5)</f>
        <v>#REF!</v>
      </c>
    </row>
    <row r="9" spans="1:50" x14ac:dyDescent="0.25">
      <c r="A9" t="s">
        <v>68</v>
      </c>
      <c r="H9" t="s">
        <v>7</v>
      </c>
      <c r="I9">
        <v>117</v>
      </c>
      <c r="J9" t="s">
        <v>59</v>
      </c>
      <c r="AX9" t="e">
        <f>SUM(#REF!)</f>
        <v>#REF!</v>
      </c>
    </row>
    <row r="10" spans="1:50" x14ac:dyDescent="0.25">
      <c r="A10" t="s">
        <v>68</v>
      </c>
      <c r="H10" t="s">
        <v>7</v>
      </c>
      <c r="I10">
        <v>119</v>
      </c>
      <c r="J10" t="s">
        <v>57</v>
      </c>
      <c r="AX10" t="e">
        <f>SUM(#REF!)</f>
        <v>#REF!</v>
      </c>
    </row>
    <row r="11" spans="1:50" x14ac:dyDescent="0.25">
      <c r="A11" t="s">
        <v>68</v>
      </c>
      <c r="B11">
        <v>3</v>
      </c>
      <c r="C11" t="b">
        <v>1</v>
      </c>
      <c r="H11" t="s">
        <v>6</v>
      </c>
      <c r="I11">
        <v>101</v>
      </c>
      <c r="J11" t="s">
        <v>2</v>
      </c>
      <c r="AX11" t="e">
        <f>SUM(#REF!)</f>
        <v>#REF!</v>
      </c>
    </row>
    <row r="12" spans="1:50" x14ac:dyDescent="0.25">
      <c r="A12" t="s">
        <v>68</v>
      </c>
      <c r="H12" t="s">
        <v>7</v>
      </c>
      <c r="I12">
        <v>117</v>
      </c>
      <c r="J12" t="s">
        <v>59</v>
      </c>
      <c r="AX12" t="e">
        <f>SUM(#REF!)</f>
        <v>#REF!</v>
      </c>
    </row>
    <row r="13" spans="1:50" x14ac:dyDescent="0.25">
      <c r="A13" t="s">
        <v>68</v>
      </c>
      <c r="H13" t="s">
        <v>7</v>
      </c>
      <c r="I13">
        <v>119</v>
      </c>
      <c r="J13" t="s">
        <v>57</v>
      </c>
      <c r="AX13" t="e">
        <f>SUM(#REF!)</f>
        <v>#REF!</v>
      </c>
    </row>
    <row r="14" spans="1:50" x14ac:dyDescent="0.25">
      <c r="A14" t="s">
        <v>68</v>
      </c>
      <c r="B14">
        <v>4</v>
      </c>
      <c r="C14" t="b">
        <v>1</v>
      </c>
      <c r="H14" t="s">
        <v>6</v>
      </c>
      <c r="I14">
        <v>101</v>
      </c>
      <c r="J14" t="s">
        <v>2</v>
      </c>
      <c r="AX14" t="e">
        <f>SUM(#REF!)</f>
        <v>#REF!</v>
      </c>
    </row>
    <row r="15" spans="1:50" x14ac:dyDescent="0.25">
      <c r="A15" t="s">
        <v>68</v>
      </c>
      <c r="H15" t="s">
        <v>7</v>
      </c>
      <c r="I15">
        <v>106</v>
      </c>
      <c r="J15" t="s">
        <v>21</v>
      </c>
      <c r="AX15" t="e">
        <f>SUM(#REF!)</f>
        <v>#REF!</v>
      </c>
    </row>
    <row r="16" spans="1:50" x14ac:dyDescent="0.25">
      <c r="A16" t="s">
        <v>68</v>
      </c>
      <c r="H16" t="s">
        <v>7</v>
      </c>
      <c r="I16">
        <v>108</v>
      </c>
      <c r="J16" t="s">
        <v>15</v>
      </c>
      <c r="AX16" t="e">
        <f>SUM(#REF!)</f>
        <v>#REF!</v>
      </c>
    </row>
    <row r="17" spans="1:50" x14ac:dyDescent="0.25">
      <c r="A17" t="s">
        <v>68</v>
      </c>
      <c r="H17" t="s">
        <v>7</v>
      </c>
      <c r="I17">
        <v>116</v>
      </c>
      <c r="J17" t="s">
        <v>60</v>
      </c>
      <c r="AX17" t="e">
        <f>SUM(#REF!)</f>
        <v>#REF!</v>
      </c>
    </row>
    <row r="18" spans="1:50" x14ac:dyDescent="0.25">
      <c r="A18" t="s">
        <v>68</v>
      </c>
      <c r="H18" t="s">
        <v>7</v>
      </c>
      <c r="I18">
        <v>119</v>
      </c>
      <c r="J18" t="s">
        <v>57</v>
      </c>
      <c r="AX18" t="e">
        <f>SUM(#REF!)</f>
        <v>#REF!</v>
      </c>
    </row>
    <row r="19" spans="1:50" x14ac:dyDescent="0.25">
      <c r="A19" t="s">
        <v>68</v>
      </c>
      <c r="B19">
        <v>5</v>
      </c>
      <c r="C19" t="b">
        <v>1</v>
      </c>
      <c r="H19" t="s">
        <v>6</v>
      </c>
      <c r="I19">
        <v>101</v>
      </c>
      <c r="J19" t="s">
        <v>2</v>
      </c>
      <c r="AX19" t="e">
        <f>SUM(#REF!)</f>
        <v>#REF!</v>
      </c>
    </row>
    <row r="20" spans="1:50" x14ac:dyDescent="0.25">
      <c r="A20" t="s">
        <v>68</v>
      </c>
      <c r="H20" t="s">
        <v>7</v>
      </c>
      <c r="I20">
        <v>106</v>
      </c>
      <c r="J20" t="s">
        <v>21</v>
      </c>
      <c r="AX20" t="e">
        <f>SUM(#REF!)</f>
        <v>#REF!</v>
      </c>
    </row>
    <row r="21" spans="1:50" x14ac:dyDescent="0.25">
      <c r="A21" t="s">
        <v>68</v>
      </c>
      <c r="H21" t="s">
        <v>7</v>
      </c>
      <c r="I21">
        <v>116</v>
      </c>
      <c r="J21" t="s">
        <v>60</v>
      </c>
      <c r="AX21" t="e">
        <f>SUM(#REF!)</f>
        <v>#REF!</v>
      </c>
    </row>
    <row r="22" spans="1:50" x14ac:dyDescent="0.25">
      <c r="A22" t="s">
        <v>68</v>
      </c>
      <c r="H22" t="s">
        <v>7</v>
      </c>
      <c r="I22">
        <v>119</v>
      </c>
      <c r="J22" t="s">
        <v>57</v>
      </c>
      <c r="AX22" t="e">
        <f>SUM(#REF!)</f>
        <v>#REF!</v>
      </c>
    </row>
    <row r="23" spans="1:50" x14ac:dyDescent="0.25">
      <c r="A23" t="s">
        <v>68</v>
      </c>
      <c r="B23">
        <v>6</v>
      </c>
      <c r="C23" t="b">
        <v>1</v>
      </c>
      <c r="H23" t="s">
        <v>6</v>
      </c>
      <c r="I23">
        <v>101</v>
      </c>
      <c r="J23" t="s">
        <v>2</v>
      </c>
      <c r="AX23" t="e">
        <f>SUM(#REF!)</f>
        <v>#REF!</v>
      </c>
    </row>
    <row r="24" spans="1:50" x14ac:dyDescent="0.25">
      <c r="A24" t="s">
        <v>68</v>
      </c>
      <c r="H24" t="s">
        <v>7</v>
      </c>
      <c r="I24">
        <v>106</v>
      </c>
      <c r="J24" t="s">
        <v>21</v>
      </c>
      <c r="AX24" t="e">
        <f>SUM(#REF!)</f>
        <v>#REF!</v>
      </c>
    </row>
    <row r="25" spans="1:50" x14ac:dyDescent="0.25">
      <c r="A25" t="s">
        <v>68</v>
      </c>
      <c r="H25" t="s">
        <v>7</v>
      </c>
      <c r="I25">
        <v>116</v>
      </c>
      <c r="J25" t="s">
        <v>60</v>
      </c>
      <c r="AX25" t="e">
        <f>SUM(#REF!)</f>
        <v>#REF!</v>
      </c>
    </row>
    <row r="26" spans="1:50" x14ac:dyDescent="0.25">
      <c r="A26" t="s">
        <v>68</v>
      </c>
      <c r="H26" t="s">
        <v>7</v>
      </c>
      <c r="I26">
        <v>119</v>
      </c>
      <c r="J26" t="s">
        <v>57</v>
      </c>
      <c r="AX26" t="e">
        <f>SUM(#REF!)</f>
        <v>#REF!</v>
      </c>
    </row>
    <row r="27" spans="1:50" x14ac:dyDescent="0.25">
      <c r="A27" t="s">
        <v>68</v>
      </c>
      <c r="B27">
        <v>7</v>
      </c>
      <c r="C27" t="b">
        <v>1</v>
      </c>
      <c r="H27" t="s">
        <v>6</v>
      </c>
      <c r="I27">
        <v>101</v>
      </c>
      <c r="J27" t="s">
        <v>2</v>
      </c>
      <c r="AX27" t="e">
        <f>SUM(#REF!)</f>
        <v>#REF!</v>
      </c>
    </row>
    <row r="28" spans="1:50" x14ac:dyDescent="0.25">
      <c r="A28" t="s">
        <v>68</v>
      </c>
      <c r="H28" t="s">
        <v>7</v>
      </c>
      <c r="I28">
        <v>116</v>
      </c>
      <c r="J28" t="s">
        <v>60</v>
      </c>
      <c r="AX28" t="e">
        <f>SUM(#REF!)</f>
        <v>#REF!</v>
      </c>
    </row>
    <row r="29" spans="1:50" x14ac:dyDescent="0.25">
      <c r="A29" t="s">
        <v>68</v>
      </c>
      <c r="H29" t="s">
        <v>7</v>
      </c>
      <c r="I29">
        <v>119</v>
      </c>
      <c r="J29" t="s">
        <v>57</v>
      </c>
      <c r="AX29" t="e">
        <f>SUM(#REF!)</f>
        <v>#REF!</v>
      </c>
    </row>
    <row r="30" spans="1:50" x14ac:dyDescent="0.25">
      <c r="A30" t="s">
        <v>68</v>
      </c>
      <c r="B30">
        <v>8</v>
      </c>
      <c r="C30" t="b">
        <v>1</v>
      </c>
      <c r="H30" t="s">
        <v>6</v>
      </c>
      <c r="I30">
        <v>101</v>
      </c>
      <c r="J30" t="s">
        <v>2</v>
      </c>
      <c r="AX30" t="e">
        <f>SUM(#REF!)</f>
        <v>#REF!</v>
      </c>
    </row>
    <row r="31" spans="1:50" x14ac:dyDescent="0.25">
      <c r="A31" t="s">
        <v>68</v>
      </c>
      <c r="H31" t="s">
        <v>7</v>
      </c>
      <c r="I31">
        <v>106</v>
      </c>
      <c r="J31" t="s">
        <v>21</v>
      </c>
      <c r="AX31" t="e">
        <f>SUM(#REF!)</f>
        <v>#REF!</v>
      </c>
    </row>
    <row r="32" spans="1:50" x14ac:dyDescent="0.25">
      <c r="A32" t="s">
        <v>68</v>
      </c>
      <c r="H32" t="s">
        <v>7</v>
      </c>
      <c r="I32">
        <v>116</v>
      </c>
      <c r="J32" t="s">
        <v>60</v>
      </c>
      <c r="AX32" t="e">
        <f>SUM(#REF!)</f>
        <v>#REF!</v>
      </c>
    </row>
    <row r="33" spans="1:50" x14ac:dyDescent="0.25">
      <c r="A33" t="s">
        <v>68</v>
      </c>
      <c r="H33" t="s">
        <v>7</v>
      </c>
      <c r="I33">
        <v>119</v>
      </c>
      <c r="J33" t="s">
        <v>57</v>
      </c>
      <c r="AX33" t="e">
        <f>SUM(#REF!)</f>
        <v>#REF!</v>
      </c>
    </row>
    <row r="34" spans="1:50" x14ac:dyDescent="0.25">
      <c r="A34" t="s">
        <v>68</v>
      </c>
      <c r="B34">
        <v>9</v>
      </c>
      <c r="C34" t="b">
        <v>1</v>
      </c>
      <c r="H34" t="s">
        <v>6</v>
      </c>
      <c r="I34">
        <v>101</v>
      </c>
      <c r="J34" t="s">
        <v>2</v>
      </c>
      <c r="AX34" t="e">
        <f>SUM(#REF!)</f>
        <v>#REF!</v>
      </c>
    </row>
    <row r="35" spans="1:50" x14ac:dyDescent="0.25">
      <c r="A35" t="s">
        <v>68</v>
      </c>
      <c r="H35" t="s">
        <v>7</v>
      </c>
      <c r="I35">
        <v>106</v>
      </c>
      <c r="J35" t="s">
        <v>21</v>
      </c>
      <c r="AX35" t="e">
        <f>SUM(#REF!)</f>
        <v>#REF!</v>
      </c>
    </row>
    <row r="36" spans="1:50" x14ac:dyDescent="0.25">
      <c r="A36" t="s">
        <v>68</v>
      </c>
      <c r="H36" t="s">
        <v>7</v>
      </c>
      <c r="I36">
        <v>116</v>
      </c>
      <c r="J36" t="s">
        <v>60</v>
      </c>
      <c r="AX36" t="e">
        <f>SUM(#REF!)</f>
        <v>#REF!</v>
      </c>
    </row>
    <row r="37" spans="1:50" x14ac:dyDescent="0.25">
      <c r="A37" t="s">
        <v>68</v>
      </c>
      <c r="H37" t="s">
        <v>7</v>
      </c>
      <c r="I37">
        <v>119</v>
      </c>
      <c r="J37" t="s">
        <v>57</v>
      </c>
      <c r="AX37">
        <f t="shared" ref="AX37:AX46" si="0">SUM(R6:AV6)</f>
        <v>0</v>
      </c>
    </row>
    <row r="38" spans="1:50" x14ac:dyDescent="0.25">
      <c r="A38" t="s">
        <v>68</v>
      </c>
      <c r="B38">
        <v>10</v>
      </c>
      <c r="C38" t="b">
        <v>1</v>
      </c>
      <c r="H38" t="s">
        <v>6</v>
      </c>
      <c r="I38">
        <v>101</v>
      </c>
      <c r="J38" t="s">
        <v>2</v>
      </c>
      <c r="AX38">
        <f t="shared" si="0"/>
        <v>0</v>
      </c>
    </row>
    <row r="39" spans="1:50" x14ac:dyDescent="0.25">
      <c r="A39" t="s">
        <v>68</v>
      </c>
      <c r="H39" t="s">
        <v>7</v>
      </c>
      <c r="I39">
        <v>106</v>
      </c>
      <c r="J39" t="s">
        <v>21</v>
      </c>
      <c r="AX39">
        <f t="shared" si="0"/>
        <v>0</v>
      </c>
    </row>
    <row r="40" spans="1:50" x14ac:dyDescent="0.25">
      <c r="A40" t="s">
        <v>68</v>
      </c>
      <c r="H40" t="s">
        <v>7</v>
      </c>
      <c r="I40">
        <v>116</v>
      </c>
      <c r="J40" t="s">
        <v>60</v>
      </c>
      <c r="AX40">
        <f t="shared" si="0"/>
        <v>0</v>
      </c>
    </row>
    <row r="41" spans="1:50" x14ac:dyDescent="0.25">
      <c r="A41" t="s">
        <v>68</v>
      </c>
      <c r="H41" t="s">
        <v>7</v>
      </c>
      <c r="I41">
        <v>119</v>
      </c>
      <c r="J41" t="s">
        <v>57</v>
      </c>
      <c r="AX41">
        <f t="shared" si="0"/>
        <v>0</v>
      </c>
    </row>
    <row r="42" spans="1:50" x14ac:dyDescent="0.25">
      <c r="A42" t="s">
        <v>68</v>
      </c>
      <c r="B42">
        <v>11</v>
      </c>
      <c r="C42" t="b">
        <v>1</v>
      </c>
      <c r="H42" t="s">
        <v>6</v>
      </c>
      <c r="I42">
        <v>101</v>
      </c>
      <c r="J42" t="s">
        <v>2</v>
      </c>
      <c r="AX42">
        <f t="shared" si="0"/>
        <v>0</v>
      </c>
    </row>
    <row r="43" spans="1:50" x14ac:dyDescent="0.25">
      <c r="A43" t="s">
        <v>68</v>
      </c>
      <c r="H43" t="s">
        <v>7</v>
      </c>
      <c r="I43">
        <v>106</v>
      </c>
      <c r="J43" t="s">
        <v>21</v>
      </c>
      <c r="AX43">
        <f t="shared" si="0"/>
        <v>0</v>
      </c>
    </row>
    <row r="44" spans="1:50" x14ac:dyDescent="0.25">
      <c r="A44" t="s">
        <v>68</v>
      </c>
      <c r="H44" t="s">
        <v>7</v>
      </c>
      <c r="I44">
        <v>119</v>
      </c>
      <c r="J44" t="s">
        <v>57</v>
      </c>
      <c r="AX44">
        <f t="shared" si="0"/>
        <v>0</v>
      </c>
    </row>
    <row r="45" spans="1:50" x14ac:dyDescent="0.25">
      <c r="A45" t="s">
        <v>68</v>
      </c>
      <c r="B45">
        <v>12</v>
      </c>
      <c r="C45" t="b">
        <v>0</v>
      </c>
      <c r="H45" t="s">
        <v>6</v>
      </c>
      <c r="I45">
        <v>101</v>
      </c>
      <c r="J45" t="s">
        <v>2</v>
      </c>
      <c r="AX45">
        <f t="shared" si="0"/>
        <v>0</v>
      </c>
    </row>
    <row r="46" spans="1:50" x14ac:dyDescent="0.25">
      <c r="A46" t="s">
        <v>68</v>
      </c>
      <c r="B46">
        <v>13</v>
      </c>
      <c r="C46" t="b">
        <v>1</v>
      </c>
      <c r="H46" t="s">
        <v>6</v>
      </c>
      <c r="I46">
        <v>101</v>
      </c>
      <c r="J46" t="s">
        <v>2</v>
      </c>
      <c r="AX46">
        <f t="shared" si="0"/>
        <v>0</v>
      </c>
    </row>
    <row r="47" spans="1:50" x14ac:dyDescent="0.25">
      <c r="A47" t="s">
        <v>66</v>
      </c>
      <c r="B47">
        <v>1</v>
      </c>
      <c r="C47" t="b">
        <v>1</v>
      </c>
      <c r="H47" t="s">
        <v>6</v>
      </c>
      <c r="I47">
        <v>101</v>
      </c>
      <c r="J47" t="s">
        <v>2</v>
      </c>
      <c r="AW47" t="e">
        <f t="shared" ref="AW47:AW74" si="1">SUM(R3:AU3)</f>
        <v>#REF!</v>
      </c>
    </row>
    <row r="48" spans="1:50" x14ac:dyDescent="0.25">
      <c r="A48" t="s">
        <v>66</v>
      </c>
      <c r="B48">
        <v>2</v>
      </c>
      <c r="C48" t="b">
        <v>1</v>
      </c>
      <c r="H48" t="s">
        <v>6</v>
      </c>
      <c r="I48">
        <v>101</v>
      </c>
      <c r="J48" t="s">
        <v>2</v>
      </c>
      <c r="AW48" t="e">
        <f t="shared" si="1"/>
        <v>#REF!</v>
      </c>
    </row>
    <row r="49" spans="1:49" x14ac:dyDescent="0.25">
      <c r="A49" t="s">
        <v>66</v>
      </c>
      <c r="H49" t="s">
        <v>7</v>
      </c>
      <c r="I49">
        <v>119</v>
      </c>
      <c r="J49" t="s">
        <v>57</v>
      </c>
      <c r="AW49" t="e">
        <f t="shared" si="1"/>
        <v>#REF!</v>
      </c>
    </row>
    <row r="50" spans="1:49" x14ac:dyDescent="0.25">
      <c r="A50" t="s">
        <v>66</v>
      </c>
      <c r="B50">
        <v>3</v>
      </c>
      <c r="C50" t="b">
        <v>1</v>
      </c>
      <c r="H50" t="s">
        <v>6</v>
      </c>
      <c r="I50">
        <v>101</v>
      </c>
      <c r="J50" t="s">
        <v>2</v>
      </c>
      <c r="AW50">
        <f t="shared" si="1"/>
        <v>0</v>
      </c>
    </row>
    <row r="51" spans="1:49" x14ac:dyDescent="0.25">
      <c r="A51" t="s">
        <v>66</v>
      </c>
      <c r="H51" t="s">
        <v>7</v>
      </c>
      <c r="I51">
        <v>119</v>
      </c>
      <c r="J51" t="s">
        <v>57</v>
      </c>
      <c r="AW51">
        <f t="shared" si="1"/>
        <v>0</v>
      </c>
    </row>
    <row r="52" spans="1:49" x14ac:dyDescent="0.25">
      <c r="A52" t="s">
        <v>66</v>
      </c>
      <c r="B52">
        <v>4</v>
      </c>
      <c r="C52" t="b">
        <v>1</v>
      </c>
      <c r="H52" t="s">
        <v>6</v>
      </c>
      <c r="I52">
        <v>101</v>
      </c>
      <c r="J52" t="s">
        <v>2</v>
      </c>
      <c r="AW52">
        <f t="shared" si="1"/>
        <v>0</v>
      </c>
    </row>
    <row r="53" spans="1:49" x14ac:dyDescent="0.25">
      <c r="A53" t="s">
        <v>66</v>
      </c>
      <c r="H53" t="s">
        <v>7</v>
      </c>
      <c r="I53">
        <v>106</v>
      </c>
      <c r="J53" t="s">
        <v>21</v>
      </c>
      <c r="AW53">
        <f t="shared" si="1"/>
        <v>0</v>
      </c>
    </row>
    <row r="54" spans="1:49" x14ac:dyDescent="0.25">
      <c r="A54" t="s">
        <v>66</v>
      </c>
      <c r="H54" t="s">
        <v>7</v>
      </c>
      <c r="I54">
        <v>119</v>
      </c>
      <c r="J54" t="s">
        <v>57</v>
      </c>
      <c r="AW54">
        <f t="shared" si="1"/>
        <v>0</v>
      </c>
    </row>
    <row r="55" spans="1:49" x14ac:dyDescent="0.25">
      <c r="A55" t="s">
        <v>66</v>
      </c>
      <c r="B55">
        <v>5</v>
      </c>
      <c r="C55" t="b">
        <v>1</v>
      </c>
      <c r="H55" t="s">
        <v>6</v>
      </c>
      <c r="I55">
        <v>101</v>
      </c>
      <c r="J55" t="s">
        <v>2</v>
      </c>
      <c r="AW55">
        <f t="shared" si="1"/>
        <v>0</v>
      </c>
    </row>
    <row r="56" spans="1:49" x14ac:dyDescent="0.25">
      <c r="A56" t="s">
        <v>66</v>
      </c>
      <c r="H56" t="s">
        <v>7</v>
      </c>
      <c r="I56">
        <v>106</v>
      </c>
      <c r="J56" t="s">
        <v>21</v>
      </c>
      <c r="AW56">
        <f t="shared" si="1"/>
        <v>0</v>
      </c>
    </row>
    <row r="57" spans="1:49" x14ac:dyDescent="0.25">
      <c r="A57" t="s">
        <v>66</v>
      </c>
      <c r="H57" t="s">
        <v>7</v>
      </c>
      <c r="I57">
        <v>119</v>
      </c>
      <c r="J57" t="s">
        <v>57</v>
      </c>
      <c r="AW57">
        <f t="shared" si="1"/>
        <v>0</v>
      </c>
    </row>
    <row r="58" spans="1:49" x14ac:dyDescent="0.25">
      <c r="A58" t="s">
        <v>66</v>
      </c>
      <c r="B58">
        <v>6</v>
      </c>
      <c r="C58" t="b">
        <v>1</v>
      </c>
      <c r="H58" t="s">
        <v>6</v>
      </c>
      <c r="I58">
        <v>101</v>
      </c>
      <c r="J58" t="s">
        <v>2</v>
      </c>
      <c r="AW58">
        <f t="shared" si="1"/>
        <v>0</v>
      </c>
    </row>
    <row r="59" spans="1:49" x14ac:dyDescent="0.25">
      <c r="A59" t="s">
        <v>66</v>
      </c>
      <c r="H59" t="s">
        <v>7</v>
      </c>
      <c r="I59">
        <v>106</v>
      </c>
      <c r="J59" t="s">
        <v>21</v>
      </c>
      <c r="AW59">
        <f t="shared" si="1"/>
        <v>0</v>
      </c>
    </row>
    <row r="60" spans="1:49" x14ac:dyDescent="0.25">
      <c r="A60" t="s">
        <v>66</v>
      </c>
      <c r="H60" t="s">
        <v>7</v>
      </c>
      <c r="I60">
        <v>119</v>
      </c>
      <c r="J60" t="s">
        <v>57</v>
      </c>
      <c r="AW60">
        <f t="shared" si="1"/>
        <v>0</v>
      </c>
    </row>
    <row r="61" spans="1:49" x14ac:dyDescent="0.25">
      <c r="A61" t="s">
        <v>66</v>
      </c>
      <c r="B61">
        <v>7</v>
      </c>
      <c r="C61" t="b">
        <v>1</v>
      </c>
      <c r="H61" t="s">
        <v>6</v>
      </c>
      <c r="I61">
        <v>101</v>
      </c>
      <c r="J61" t="s">
        <v>2</v>
      </c>
      <c r="AW61">
        <f t="shared" si="1"/>
        <v>0</v>
      </c>
    </row>
    <row r="62" spans="1:49" x14ac:dyDescent="0.25">
      <c r="A62" t="s">
        <v>66</v>
      </c>
      <c r="H62" t="s">
        <v>7</v>
      </c>
      <c r="I62">
        <v>119</v>
      </c>
      <c r="J62" t="s">
        <v>57</v>
      </c>
      <c r="AW62">
        <f t="shared" si="1"/>
        <v>0</v>
      </c>
    </row>
    <row r="63" spans="1:49" x14ac:dyDescent="0.25">
      <c r="A63" t="s">
        <v>66</v>
      </c>
      <c r="B63">
        <v>8</v>
      </c>
      <c r="C63" t="b">
        <v>1</v>
      </c>
      <c r="H63" t="s">
        <v>6</v>
      </c>
      <c r="I63">
        <v>101</v>
      </c>
      <c r="J63" t="s">
        <v>2</v>
      </c>
      <c r="AW63">
        <f t="shared" si="1"/>
        <v>0</v>
      </c>
    </row>
    <row r="64" spans="1:49" x14ac:dyDescent="0.25">
      <c r="A64" t="s">
        <v>66</v>
      </c>
      <c r="H64" t="s">
        <v>7</v>
      </c>
      <c r="I64">
        <v>106</v>
      </c>
      <c r="J64" t="s">
        <v>21</v>
      </c>
      <c r="AW64">
        <f t="shared" si="1"/>
        <v>0</v>
      </c>
    </row>
    <row r="65" spans="1:50" x14ac:dyDescent="0.25">
      <c r="A65" t="s">
        <v>66</v>
      </c>
      <c r="H65" t="s">
        <v>7</v>
      </c>
      <c r="I65">
        <v>119</v>
      </c>
      <c r="J65" t="s">
        <v>57</v>
      </c>
      <c r="AW65">
        <f t="shared" si="1"/>
        <v>0</v>
      </c>
    </row>
    <row r="66" spans="1:50" x14ac:dyDescent="0.25">
      <c r="A66" t="s">
        <v>66</v>
      </c>
      <c r="B66">
        <v>9</v>
      </c>
      <c r="C66" t="b">
        <v>1</v>
      </c>
      <c r="H66" t="s">
        <v>6</v>
      </c>
      <c r="I66">
        <v>101</v>
      </c>
      <c r="J66" t="s">
        <v>2</v>
      </c>
      <c r="AW66">
        <f t="shared" si="1"/>
        <v>0</v>
      </c>
    </row>
    <row r="67" spans="1:50" x14ac:dyDescent="0.25">
      <c r="A67" t="s">
        <v>66</v>
      </c>
      <c r="H67" t="s">
        <v>7</v>
      </c>
      <c r="I67">
        <v>106</v>
      </c>
      <c r="J67" t="s">
        <v>21</v>
      </c>
      <c r="AW67">
        <f t="shared" si="1"/>
        <v>0</v>
      </c>
    </row>
    <row r="68" spans="1:50" x14ac:dyDescent="0.25">
      <c r="A68" t="s">
        <v>66</v>
      </c>
      <c r="H68" t="s">
        <v>7</v>
      </c>
      <c r="I68">
        <v>119</v>
      </c>
      <c r="J68" t="s">
        <v>57</v>
      </c>
      <c r="AW68">
        <f t="shared" si="1"/>
        <v>0</v>
      </c>
    </row>
    <row r="69" spans="1:50" x14ac:dyDescent="0.25">
      <c r="A69" t="s">
        <v>66</v>
      </c>
      <c r="B69">
        <v>10</v>
      </c>
      <c r="C69" t="b">
        <v>1</v>
      </c>
      <c r="H69" t="s">
        <v>6</v>
      </c>
      <c r="I69">
        <v>101</v>
      </c>
      <c r="J69" t="s">
        <v>2</v>
      </c>
      <c r="AW69">
        <f t="shared" si="1"/>
        <v>0</v>
      </c>
    </row>
    <row r="70" spans="1:50" x14ac:dyDescent="0.25">
      <c r="A70" t="s">
        <v>66</v>
      </c>
      <c r="H70" t="s">
        <v>7</v>
      </c>
      <c r="I70">
        <v>106</v>
      </c>
      <c r="J70" t="s">
        <v>21</v>
      </c>
      <c r="AW70">
        <f t="shared" si="1"/>
        <v>0</v>
      </c>
    </row>
    <row r="71" spans="1:50" x14ac:dyDescent="0.25">
      <c r="A71" t="s">
        <v>66</v>
      </c>
      <c r="B71">
        <v>11</v>
      </c>
      <c r="C71" t="b">
        <v>1</v>
      </c>
      <c r="H71" t="s">
        <v>6</v>
      </c>
      <c r="I71">
        <v>101</v>
      </c>
      <c r="J71" t="s">
        <v>2</v>
      </c>
      <c r="AW71">
        <f t="shared" si="1"/>
        <v>0</v>
      </c>
    </row>
    <row r="72" spans="1:50" x14ac:dyDescent="0.25">
      <c r="A72" t="s">
        <v>66</v>
      </c>
      <c r="H72" t="s">
        <v>7</v>
      </c>
      <c r="I72">
        <v>106</v>
      </c>
      <c r="J72" t="s">
        <v>21</v>
      </c>
      <c r="AW72">
        <f t="shared" si="1"/>
        <v>0</v>
      </c>
    </row>
    <row r="73" spans="1:50" x14ac:dyDescent="0.25">
      <c r="A73" t="s">
        <v>66</v>
      </c>
      <c r="H73" t="s">
        <v>7</v>
      </c>
      <c r="I73">
        <v>119</v>
      </c>
      <c r="J73" t="s">
        <v>57</v>
      </c>
      <c r="AW73">
        <f t="shared" si="1"/>
        <v>0</v>
      </c>
    </row>
    <row r="74" spans="1:50" x14ac:dyDescent="0.25">
      <c r="A74" t="s">
        <v>66</v>
      </c>
      <c r="B74">
        <v>12</v>
      </c>
      <c r="C74" t="b">
        <v>1</v>
      </c>
      <c r="H74" t="s">
        <v>6</v>
      </c>
      <c r="I74">
        <v>101</v>
      </c>
      <c r="J74" t="s">
        <v>2</v>
      </c>
      <c r="AW74">
        <f t="shared" si="1"/>
        <v>0</v>
      </c>
    </row>
    <row r="75" spans="1:50" x14ac:dyDescent="0.25">
      <c r="A75" t="s">
        <v>73</v>
      </c>
      <c r="B75">
        <v>1</v>
      </c>
      <c r="C75" t="b">
        <v>1</v>
      </c>
      <c r="H75" t="s">
        <v>6</v>
      </c>
      <c r="I75">
        <v>101</v>
      </c>
      <c r="J75" t="s">
        <v>2</v>
      </c>
      <c r="K75">
        <v>4</v>
      </c>
      <c r="L75">
        <v>3</v>
      </c>
      <c r="M75">
        <v>4</v>
      </c>
      <c r="N75">
        <v>3</v>
      </c>
      <c r="O75">
        <v>4</v>
      </c>
      <c r="R75">
        <f>SUM(J3:P3)</f>
        <v>18</v>
      </c>
      <c r="U75">
        <v>4</v>
      </c>
      <c r="V75">
        <v>3</v>
      </c>
      <c r="W75">
        <v>4</v>
      </c>
      <c r="X75">
        <v>3</v>
      </c>
      <c r="Y75">
        <v>4</v>
      </c>
      <c r="AB75">
        <v>4</v>
      </c>
      <c r="AC75">
        <v>3</v>
      </c>
      <c r="AD75">
        <v>4</v>
      </c>
      <c r="AE75">
        <v>3</v>
      </c>
      <c r="AF75">
        <v>4</v>
      </c>
      <c r="AI75">
        <v>4</v>
      </c>
      <c r="AJ75">
        <v>3</v>
      </c>
      <c r="AK75">
        <v>4</v>
      </c>
      <c r="AL75">
        <v>3</v>
      </c>
      <c r="AM75">
        <v>4</v>
      </c>
      <c r="AP75">
        <v>4</v>
      </c>
      <c r="AQ75">
        <v>3</v>
      </c>
      <c r="AR75">
        <v>4</v>
      </c>
      <c r="AS75">
        <v>3</v>
      </c>
      <c r="AT75">
        <v>4</v>
      </c>
      <c r="AW75">
        <v>4</v>
      </c>
      <c r="AX75" t="e">
        <f>SUM(R3:AV3)</f>
        <v>#REF!</v>
      </c>
    </row>
    <row r="76" spans="1:50" x14ac:dyDescent="0.25">
      <c r="A76" t="s">
        <v>76</v>
      </c>
      <c r="B76">
        <v>1</v>
      </c>
      <c r="C76" t="b">
        <v>1</v>
      </c>
      <c r="H76" t="s">
        <v>6</v>
      </c>
      <c r="I76">
        <v>101</v>
      </c>
      <c r="J76" t="s">
        <v>2</v>
      </c>
      <c r="K76">
        <v>4</v>
      </c>
      <c r="L76">
        <v>3</v>
      </c>
      <c r="M76">
        <v>4</v>
      </c>
      <c r="N76">
        <v>3</v>
      </c>
      <c r="O76">
        <v>4</v>
      </c>
      <c r="R76">
        <f>SUM(J3:P3)</f>
        <v>18</v>
      </c>
      <c r="S76">
        <v>4</v>
      </c>
      <c r="V76">
        <v>4</v>
      </c>
      <c r="W76">
        <v>3</v>
      </c>
      <c r="X76">
        <v>4</v>
      </c>
      <c r="Y76">
        <v>3</v>
      </c>
      <c r="Z76">
        <v>4</v>
      </c>
      <c r="AC76">
        <v>4</v>
      </c>
      <c r="AD76">
        <v>3</v>
      </c>
      <c r="AE76">
        <v>4</v>
      </c>
      <c r="AF76">
        <v>3</v>
      </c>
      <c r="AG76">
        <v>4</v>
      </c>
      <c r="AJ76">
        <v>4</v>
      </c>
      <c r="AK76">
        <v>3</v>
      </c>
      <c r="AL76">
        <v>4</v>
      </c>
      <c r="AM76">
        <v>3</v>
      </c>
      <c r="AN76">
        <v>4</v>
      </c>
      <c r="AQ76">
        <v>4</v>
      </c>
      <c r="AR76">
        <v>3</v>
      </c>
      <c r="AS76">
        <v>4</v>
      </c>
      <c r="AT76">
        <v>3</v>
      </c>
      <c r="AU76">
        <v>4</v>
      </c>
      <c r="AX76" t="e">
        <f>SUM(R3:AV3)</f>
        <v>#REF!</v>
      </c>
    </row>
    <row r="77" spans="1:50" x14ac:dyDescent="0.25">
      <c r="A77" t="s">
        <v>76</v>
      </c>
      <c r="B77">
        <v>2</v>
      </c>
      <c r="C77" t="b">
        <v>1</v>
      </c>
      <c r="H77" t="s">
        <v>6</v>
      </c>
      <c r="I77">
        <v>101</v>
      </c>
      <c r="J77" t="s">
        <v>2</v>
      </c>
      <c r="K77">
        <v>4</v>
      </c>
      <c r="L77">
        <v>3</v>
      </c>
      <c r="M77">
        <v>4</v>
      </c>
      <c r="N77">
        <v>3</v>
      </c>
      <c r="O77">
        <v>4</v>
      </c>
      <c r="R77">
        <f>SUM(J4:P4)</f>
        <v>15</v>
      </c>
      <c r="S77">
        <v>4</v>
      </c>
      <c r="V77">
        <v>4</v>
      </c>
      <c r="W77">
        <v>3</v>
      </c>
      <c r="X77">
        <v>4</v>
      </c>
      <c r="Y77">
        <v>3</v>
      </c>
      <c r="Z77">
        <v>4</v>
      </c>
      <c r="AC77">
        <v>4</v>
      </c>
      <c r="AD77">
        <v>3</v>
      </c>
      <c r="AE77">
        <v>4</v>
      </c>
      <c r="AF77">
        <v>3</v>
      </c>
      <c r="AG77">
        <v>4</v>
      </c>
      <c r="AJ77">
        <v>4</v>
      </c>
      <c r="AK77">
        <v>3</v>
      </c>
      <c r="AL77">
        <v>4</v>
      </c>
      <c r="AM77">
        <v>3</v>
      </c>
      <c r="AN77">
        <v>4</v>
      </c>
      <c r="AQ77">
        <v>4</v>
      </c>
      <c r="AR77">
        <v>3</v>
      </c>
      <c r="AS77">
        <v>4</v>
      </c>
      <c r="AT77">
        <v>3</v>
      </c>
      <c r="AU77">
        <v>4</v>
      </c>
      <c r="AX77" t="e">
        <f>SUM(R4:AV4)</f>
        <v>#REF!</v>
      </c>
    </row>
    <row r="78" spans="1:50" x14ac:dyDescent="0.25">
      <c r="A78" t="s">
        <v>76</v>
      </c>
      <c r="B78">
        <v>3</v>
      </c>
      <c r="C78" t="b">
        <v>1</v>
      </c>
      <c r="H78" t="s">
        <v>6</v>
      </c>
      <c r="I78">
        <v>101</v>
      </c>
      <c r="J78" t="s">
        <v>2</v>
      </c>
      <c r="K78">
        <v>4</v>
      </c>
      <c r="L78">
        <v>3</v>
      </c>
      <c r="M78">
        <v>4</v>
      </c>
      <c r="N78">
        <v>3</v>
      </c>
      <c r="O78">
        <v>4</v>
      </c>
      <c r="R78">
        <f>SUM(J5:P5)</f>
        <v>3</v>
      </c>
      <c r="S78">
        <v>4</v>
      </c>
      <c r="V78">
        <v>4</v>
      </c>
      <c r="W78">
        <v>3</v>
      </c>
      <c r="X78">
        <v>4</v>
      </c>
      <c r="Y78">
        <v>3</v>
      </c>
      <c r="Z78">
        <v>4</v>
      </c>
      <c r="AC78">
        <v>4</v>
      </c>
      <c r="AD78">
        <v>3</v>
      </c>
      <c r="AE78">
        <v>4</v>
      </c>
      <c r="AF78">
        <v>3</v>
      </c>
      <c r="AG78">
        <v>4</v>
      </c>
      <c r="AJ78">
        <v>4</v>
      </c>
      <c r="AK78">
        <v>3</v>
      </c>
      <c r="AL78">
        <v>4</v>
      </c>
      <c r="AM78">
        <v>3</v>
      </c>
      <c r="AN78">
        <v>4</v>
      </c>
      <c r="AQ78">
        <v>4</v>
      </c>
      <c r="AR78">
        <v>3</v>
      </c>
      <c r="AS78">
        <v>4</v>
      </c>
      <c r="AT78">
        <v>3</v>
      </c>
      <c r="AU78">
        <v>4</v>
      </c>
      <c r="AX78" t="e">
        <f>SUM(R5:AV5)</f>
        <v>#REF!</v>
      </c>
    </row>
    <row r="79" spans="1:50" x14ac:dyDescent="0.25">
      <c r="A79" t="s">
        <v>76</v>
      </c>
      <c r="B79">
        <v>4</v>
      </c>
      <c r="C79" t="b">
        <v>1</v>
      </c>
      <c r="H79" t="s">
        <v>6</v>
      </c>
      <c r="I79">
        <v>101</v>
      </c>
      <c r="J79" t="s">
        <v>2</v>
      </c>
      <c r="K79">
        <v>4</v>
      </c>
      <c r="L79">
        <v>3</v>
      </c>
      <c r="M79">
        <v>4</v>
      </c>
      <c r="N79">
        <v>3</v>
      </c>
      <c r="O79">
        <v>4</v>
      </c>
      <c r="R79">
        <f>SUM(J6:P6)</f>
        <v>0</v>
      </c>
      <c r="S79">
        <v>4</v>
      </c>
      <c r="V79">
        <v>4</v>
      </c>
      <c r="W79">
        <v>3</v>
      </c>
      <c r="X79">
        <v>4</v>
      </c>
      <c r="Y79">
        <v>3</v>
      </c>
      <c r="Z79">
        <v>4</v>
      </c>
      <c r="AC79">
        <v>4</v>
      </c>
      <c r="AD79">
        <v>3</v>
      </c>
      <c r="AE79">
        <v>4</v>
      </c>
      <c r="AF79">
        <v>3</v>
      </c>
      <c r="AG79">
        <v>4</v>
      </c>
      <c r="AJ79">
        <v>4</v>
      </c>
      <c r="AK79">
        <v>3</v>
      </c>
      <c r="AL79">
        <v>4</v>
      </c>
      <c r="AM79">
        <v>3</v>
      </c>
      <c r="AN79">
        <v>4</v>
      </c>
      <c r="AQ79" t="s">
        <v>75</v>
      </c>
      <c r="AR79">
        <v>3</v>
      </c>
      <c r="AS79">
        <v>4</v>
      </c>
      <c r="AT79">
        <v>3</v>
      </c>
      <c r="AU79">
        <v>4</v>
      </c>
      <c r="AX79">
        <f>SUM(R6:AV6)</f>
        <v>0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4</vt:i4>
      </vt:variant>
      <vt:variant>
        <vt:lpstr>Adlandırılmış Aralıklar</vt:lpstr>
      </vt:variant>
      <vt:variant>
        <vt:i4>1</vt:i4>
      </vt:variant>
    </vt:vector>
  </HeadingPairs>
  <TitlesOfParts>
    <vt:vector size="5" baseType="lpstr">
      <vt:lpstr>EkDers</vt:lpstr>
      <vt:lpstr>Puantaj</vt:lpstr>
      <vt:lpstr>Kodlar</vt:lpstr>
      <vt:lpstr>Arsiv</vt:lpstr>
      <vt:lpstr>Puantaj!Yazdırma_Başlıkları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AcerDNK</dc:creator>
  <cp:lastModifiedBy>Mehmet SEN</cp:lastModifiedBy>
  <cp:lastPrinted>2019-03-25T07:53:39Z</cp:lastPrinted>
  <dcterms:created xsi:type="dcterms:W3CDTF">2014-11-30T14:00:29Z</dcterms:created>
  <dcterms:modified xsi:type="dcterms:W3CDTF">2021-12-20T12:00:39Z</dcterms:modified>
</cp:coreProperties>
</file>