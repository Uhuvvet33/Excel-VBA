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BuÇalışmaKitabı"/>
  <mc:AlternateContent xmlns:mc="http://schemas.openxmlformats.org/markup-compatibility/2006">
    <mc:Choice Requires="x15">
      <x15ac:absPath xmlns:x15ac="http://schemas.microsoft.com/office/spreadsheetml/2010/11/ac" url="D:\Projects-Lesson\Excel\"/>
    </mc:Choice>
  </mc:AlternateContent>
  <bookViews>
    <workbookView xWindow="-120" yWindow="-120" windowWidth="19440" windowHeight="11790" activeTab="2"/>
  </bookViews>
  <sheets>
    <sheet name="Program1" sheetId="1" r:id="rId1"/>
    <sheet name="Program2" sheetId="6" r:id="rId2"/>
    <sheet name="AdiSoyadi" sheetId="2" r:id="rId3"/>
    <sheet name="Kitaplar" sheetId="3" r:id="rId4"/>
  </sheets>
  <definedNames>
    <definedName name="_xlnm._FilterDatabase" localSheetId="2" hidden="1">AdiSoyadi!$D$1:$F$1</definedName>
    <definedName name="GunlukSayfa">Tablo2[Günlük Sayfa Sayısı]</definedName>
    <definedName name="GunSayfa2">Program2!$S$3</definedName>
    <definedName name="_xlnm.Print_Area" localSheetId="0">Program1!$A$1:$D$101</definedName>
    <definedName name="_xlnm.Print_Area" localSheetId="1">Program2!$A$1:$I$52</definedName>
    <definedName name="_xlnm.Print_Titles" localSheetId="0">Program1!$2:$2</definedName>
    <definedName name="_xlnm.Print_Titles" localSheetId="1">Program2!$2:$2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" i="6" l="1"/>
  <c r="G1" i="1"/>
  <c r="P80" i="6" l="1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J3" i="1"/>
  <c r="K3" i="1"/>
  <c r="N3" i="1"/>
  <c r="N4" i="1"/>
  <c r="O4" i="1"/>
  <c r="J4" i="1" s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O57" i="1"/>
  <c r="J57" i="1" s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O94" i="1"/>
  <c r="N95" i="1"/>
  <c r="O95" i="1"/>
  <c r="N96" i="1"/>
  <c r="O96" i="1"/>
  <c r="N97" i="1"/>
  <c r="O97" i="1"/>
  <c r="N98" i="1"/>
  <c r="O98" i="1"/>
  <c r="N99" i="1"/>
  <c r="O99" i="1"/>
  <c r="N100" i="1"/>
  <c r="O100" i="1"/>
  <c r="N101" i="1"/>
  <c r="O101" i="1"/>
  <c r="N102" i="1"/>
  <c r="O102" i="1"/>
  <c r="A102" i="2"/>
  <c r="U4" i="6"/>
  <c r="U5" i="6" s="1"/>
  <c r="P5" i="6" s="1"/>
  <c r="U96" i="6"/>
  <c r="U97" i="6"/>
  <c r="U98" i="6"/>
  <c r="U99" i="6"/>
  <c r="U100" i="6"/>
  <c r="U101" i="6"/>
  <c r="U102" i="6"/>
  <c r="P3" i="6"/>
  <c r="P4" i="6" l="1"/>
  <c r="O5" i="1"/>
  <c r="J5" i="1" s="1"/>
  <c r="L3" i="1"/>
  <c r="K4" i="1" s="1"/>
  <c r="O58" i="1"/>
  <c r="J58" i="1" s="1"/>
  <c r="U6" i="6"/>
  <c r="P6" i="6" s="1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2" i="2"/>
  <c r="O6" i="1" l="1"/>
  <c r="J6" i="1" s="1"/>
  <c r="O59" i="1"/>
  <c r="J59" i="1" s="1"/>
  <c r="O7" i="1"/>
  <c r="J7" i="1" s="1"/>
  <c r="U7" i="6"/>
  <c r="P7" i="6" s="1"/>
  <c r="J4" i="3"/>
  <c r="I4" i="3"/>
  <c r="H4" i="3"/>
  <c r="G4" i="3"/>
  <c r="F4" i="3"/>
  <c r="T102" i="6"/>
  <c r="T101" i="6"/>
  <c r="T100" i="6"/>
  <c r="T99" i="6"/>
  <c r="T98" i="6"/>
  <c r="T97" i="6"/>
  <c r="T96" i="6"/>
  <c r="T95" i="6"/>
  <c r="T94" i="6"/>
  <c r="T93" i="6"/>
  <c r="T92" i="6"/>
  <c r="T91" i="6"/>
  <c r="T90" i="6"/>
  <c r="T89" i="6"/>
  <c r="T88" i="6"/>
  <c r="T87" i="6"/>
  <c r="T86" i="6"/>
  <c r="T85" i="6"/>
  <c r="T84" i="6"/>
  <c r="T83" i="6"/>
  <c r="T82" i="6"/>
  <c r="T81" i="6"/>
  <c r="T80" i="6"/>
  <c r="T79" i="6"/>
  <c r="T78" i="6"/>
  <c r="T77" i="6"/>
  <c r="T76" i="6"/>
  <c r="T75" i="6"/>
  <c r="T74" i="6"/>
  <c r="T73" i="6"/>
  <c r="T72" i="6"/>
  <c r="T71" i="6"/>
  <c r="T70" i="6"/>
  <c r="T69" i="6"/>
  <c r="T68" i="6"/>
  <c r="T67" i="6"/>
  <c r="T66" i="6"/>
  <c r="T65" i="6"/>
  <c r="T64" i="6"/>
  <c r="T63" i="6"/>
  <c r="T62" i="6"/>
  <c r="T61" i="6"/>
  <c r="T60" i="6"/>
  <c r="T59" i="6"/>
  <c r="T58" i="6"/>
  <c r="T57" i="6"/>
  <c r="T56" i="6"/>
  <c r="T55" i="6"/>
  <c r="T54" i="6"/>
  <c r="T53" i="6"/>
  <c r="T52" i="6"/>
  <c r="T51" i="6"/>
  <c r="T50" i="6"/>
  <c r="T49" i="6"/>
  <c r="T48" i="6"/>
  <c r="T47" i="6"/>
  <c r="T46" i="6"/>
  <c r="T45" i="6"/>
  <c r="T44" i="6"/>
  <c r="T43" i="6"/>
  <c r="T42" i="6"/>
  <c r="T41" i="6"/>
  <c r="T40" i="6"/>
  <c r="T39" i="6"/>
  <c r="T38" i="6"/>
  <c r="T37" i="6"/>
  <c r="T36" i="6"/>
  <c r="T35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T6" i="6"/>
  <c r="T5" i="6"/>
  <c r="T4" i="6"/>
  <c r="Q3" i="6"/>
  <c r="B3" i="6"/>
  <c r="A1" i="6"/>
  <c r="D58" i="1"/>
  <c r="D57" i="1"/>
  <c r="D5" i="1"/>
  <c r="D4" i="1"/>
  <c r="B3" i="1"/>
  <c r="A1" i="1"/>
  <c r="U8" i="6" l="1"/>
  <c r="P8" i="6" s="1"/>
  <c r="O8" i="1"/>
  <c r="J8" i="1" s="1"/>
  <c r="O60" i="1"/>
  <c r="J60" i="1" s="1"/>
  <c r="U9" i="6"/>
  <c r="P9" i="6" s="1"/>
  <c r="U57" i="6"/>
  <c r="P57" i="6" s="1"/>
  <c r="D6" i="1"/>
  <c r="D3" i="6"/>
  <c r="T3" i="6"/>
  <c r="R3" i="6" s="1"/>
  <c r="D7" i="1" l="1"/>
  <c r="O9" i="1"/>
  <c r="J9" i="1" s="1"/>
  <c r="D59" i="1"/>
  <c r="O61" i="1"/>
  <c r="J61" i="1" s="1"/>
  <c r="U58" i="6"/>
  <c r="P58" i="6" s="1"/>
  <c r="U10" i="6"/>
  <c r="P10" i="6" s="1"/>
  <c r="C3" i="6"/>
  <c r="O10" i="1" l="1"/>
  <c r="J10" i="1" s="1"/>
  <c r="D8" i="1"/>
  <c r="O62" i="1"/>
  <c r="J62" i="1" s="1"/>
  <c r="D60" i="1"/>
  <c r="U11" i="6"/>
  <c r="P11" i="6" s="1"/>
  <c r="U59" i="6"/>
  <c r="P59" i="6" s="1"/>
  <c r="D9" i="1" l="1"/>
  <c r="O11" i="1"/>
  <c r="J11" i="1" s="1"/>
  <c r="O63" i="1"/>
  <c r="J63" i="1" s="1"/>
  <c r="D61" i="1"/>
  <c r="U12" i="6"/>
  <c r="P12" i="6" s="1"/>
  <c r="U60" i="6"/>
  <c r="P60" i="6" s="1"/>
  <c r="D62" i="1" l="1"/>
  <c r="O64" i="1"/>
  <c r="J64" i="1" s="1"/>
  <c r="O12" i="1"/>
  <c r="J12" i="1" s="1"/>
  <c r="D10" i="1"/>
  <c r="U61" i="6"/>
  <c r="P61" i="6" s="1"/>
  <c r="U13" i="6"/>
  <c r="P13" i="6" s="1"/>
  <c r="O65" i="1" l="1"/>
  <c r="J65" i="1" s="1"/>
  <c r="D63" i="1"/>
  <c r="D11" i="1"/>
  <c r="O13" i="1"/>
  <c r="J13" i="1" s="1"/>
  <c r="U14" i="6"/>
  <c r="P14" i="6" s="1"/>
  <c r="U62" i="6"/>
  <c r="P62" i="6" s="1"/>
  <c r="O66" i="1" l="1"/>
  <c r="J66" i="1" s="1"/>
  <c r="O14" i="1"/>
  <c r="J14" i="1" s="1"/>
  <c r="D12" i="1"/>
  <c r="D64" i="1"/>
  <c r="U15" i="6"/>
  <c r="P15" i="6" s="1"/>
  <c r="U63" i="6"/>
  <c r="P63" i="6" s="1"/>
  <c r="D13" i="1" l="1"/>
  <c r="O15" i="1"/>
  <c r="J15" i="1" s="1"/>
  <c r="O67" i="1"/>
  <c r="J67" i="1" s="1"/>
  <c r="D65" i="1"/>
  <c r="U64" i="6"/>
  <c r="P64" i="6" s="1"/>
  <c r="U16" i="6"/>
  <c r="P16" i="6" s="1"/>
  <c r="O16" i="1" l="1"/>
  <c r="J16" i="1" s="1"/>
  <c r="D14" i="1"/>
  <c r="O68" i="1"/>
  <c r="J68" i="1" s="1"/>
  <c r="D66" i="1"/>
  <c r="U17" i="6"/>
  <c r="P17" i="6" s="1"/>
  <c r="U65" i="6"/>
  <c r="P65" i="6" s="1"/>
  <c r="O69" i="1" l="1"/>
  <c r="J69" i="1" s="1"/>
  <c r="D15" i="1"/>
  <c r="D67" i="1"/>
  <c r="O17" i="1"/>
  <c r="J17" i="1" s="1"/>
  <c r="U66" i="6"/>
  <c r="P66" i="6" s="1"/>
  <c r="U18" i="6"/>
  <c r="P18" i="6" s="1"/>
  <c r="D16" i="1" l="1"/>
  <c r="O70" i="1"/>
  <c r="J70" i="1" s="1"/>
  <c r="O18" i="1"/>
  <c r="J18" i="1" s="1"/>
  <c r="D68" i="1"/>
  <c r="U19" i="6"/>
  <c r="P19" i="6" s="1"/>
  <c r="U67" i="6"/>
  <c r="P67" i="6" s="1"/>
  <c r="O19" i="1" l="1"/>
  <c r="J19" i="1" s="1"/>
  <c r="O71" i="1"/>
  <c r="J71" i="1" s="1"/>
  <c r="D69" i="1"/>
  <c r="D17" i="1"/>
  <c r="U20" i="6"/>
  <c r="P20" i="6" s="1"/>
  <c r="U68" i="6"/>
  <c r="P68" i="6" s="1"/>
  <c r="O72" i="1" l="1"/>
  <c r="J72" i="1" s="1"/>
  <c r="O20" i="1"/>
  <c r="J20" i="1" s="1"/>
  <c r="D70" i="1"/>
  <c r="D18" i="1"/>
  <c r="U21" i="6"/>
  <c r="P21" i="6" s="1"/>
  <c r="U69" i="6"/>
  <c r="P69" i="6" s="1"/>
  <c r="D19" i="1" l="1"/>
  <c r="O21" i="1"/>
  <c r="J21" i="1" s="1"/>
  <c r="D71" i="1"/>
  <c r="O73" i="1"/>
  <c r="J73" i="1" s="1"/>
  <c r="U22" i="6"/>
  <c r="P22" i="6" s="1"/>
  <c r="U70" i="6"/>
  <c r="P70" i="6" s="1"/>
  <c r="O74" i="1" l="1"/>
  <c r="J74" i="1" s="1"/>
  <c r="O22" i="1"/>
  <c r="J22" i="1" s="1"/>
  <c r="D20" i="1"/>
  <c r="D72" i="1"/>
  <c r="U23" i="6"/>
  <c r="P23" i="6" s="1"/>
  <c r="U71" i="6"/>
  <c r="P71" i="6" s="1"/>
  <c r="U24" i="6" l="1"/>
  <c r="P24" i="6" s="1"/>
  <c r="D21" i="1"/>
  <c r="O75" i="1"/>
  <c r="J75" i="1" s="1"/>
  <c r="O23" i="1"/>
  <c r="J23" i="1" s="1"/>
  <c r="D73" i="1"/>
  <c r="U72" i="6"/>
  <c r="P72" i="6" s="1"/>
  <c r="O24" i="1" l="1"/>
  <c r="J24" i="1" s="1"/>
  <c r="U25" i="6"/>
  <c r="P25" i="6" s="1"/>
  <c r="D74" i="1"/>
  <c r="O76" i="1"/>
  <c r="J76" i="1" s="1"/>
  <c r="D23" i="1"/>
  <c r="D22" i="1"/>
  <c r="U73" i="6"/>
  <c r="P73" i="6" s="1"/>
  <c r="D24" i="1" l="1"/>
  <c r="O25" i="1"/>
  <c r="J25" i="1" s="1"/>
  <c r="U26" i="6"/>
  <c r="P26" i="6" s="1"/>
  <c r="D75" i="1"/>
  <c r="O77" i="1"/>
  <c r="J77" i="1" s="1"/>
  <c r="U74" i="6"/>
  <c r="P74" i="6" s="1"/>
  <c r="D25" i="1" l="1"/>
  <c r="O26" i="1"/>
  <c r="J26" i="1" s="1"/>
  <c r="U27" i="6"/>
  <c r="P27" i="6" s="1"/>
  <c r="O78" i="1"/>
  <c r="J78" i="1" s="1"/>
  <c r="D76" i="1"/>
  <c r="U75" i="6"/>
  <c r="P75" i="6" s="1"/>
  <c r="D26" i="1" l="1"/>
  <c r="O27" i="1"/>
  <c r="J27" i="1" s="1"/>
  <c r="U28" i="6"/>
  <c r="P28" i="6" s="1"/>
  <c r="O79" i="1"/>
  <c r="J79" i="1" s="1"/>
  <c r="D77" i="1"/>
  <c r="U76" i="6"/>
  <c r="P76" i="6" s="1"/>
  <c r="D27" i="1" l="1"/>
  <c r="O28" i="1"/>
  <c r="J28" i="1" s="1"/>
  <c r="U29" i="6"/>
  <c r="P29" i="6" s="1"/>
  <c r="O80" i="1"/>
  <c r="D78" i="1"/>
  <c r="U77" i="6"/>
  <c r="P77" i="6" s="1"/>
  <c r="O29" i="1" l="1"/>
  <c r="J29" i="1" s="1"/>
  <c r="D28" i="1"/>
  <c r="U30" i="6"/>
  <c r="P30" i="6" s="1"/>
  <c r="D79" i="1"/>
  <c r="O81" i="1"/>
  <c r="U78" i="6"/>
  <c r="P78" i="6" s="1"/>
  <c r="D29" i="1" l="1"/>
  <c r="O30" i="1"/>
  <c r="J30" i="1" s="1"/>
  <c r="U31" i="6"/>
  <c r="P31" i="6" s="1"/>
  <c r="O82" i="1"/>
  <c r="D80" i="1"/>
  <c r="U79" i="6"/>
  <c r="P79" i="6" s="1"/>
  <c r="D30" i="1" l="1"/>
  <c r="O31" i="1"/>
  <c r="J31" i="1" s="1"/>
  <c r="U32" i="6"/>
  <c r="P32" i="6" s="1"/>
  <c r="O83" i="1"/>
  <c r="D81" i="1"/>
  <c r="U80" i="6"/>
  <c r="D31" i="1" l="1"/>
  <c r="O32" i="1"/>
  <c r="J32" i="1" s="1"/>
  <c r="U33" i="6"/>
  <c r="P33" i="6" s="1"/>
  <c r="O84" i="1"/>
  <c r="D82" i="1"/>
  <c r="U81" i="6"/>
  <c r="D32" i="1" l="1"/>
  <c r="O33" i="1"/>
  <c r="J33" i="1" s="1"/>
  <c r="U34" i="6"/>
  <c r="P34" i="6" s="1"/>
  <c r="D83" i="1"/>
  <c r="O85" i="1"/>
  <c r="U82" i="6"/>
  <c r="D33" i="1" l="1"/>
  <c r="O34" i="1"/>
  <c r="J34" i="1" s="1"/>
  <c r="U35" i="6"/>
  <c r="P35" i="6" s="1"/>
  <c r="O86" i="1"/>
  <c r="D84" i="1"/>
  <c r="U83" i="6"/>
  <c r="D34" i="1" l="1"/>
  <c r="O35" i="1"/>
  <c r="J35" i="1" s="1"/>
  <c r="U36" i="6"/>
  <c r="P36" i="6" s="1"/>
  <c r="O87" i="1"/>
  <c r="D86" i="1"/>
  <c r="D85" i="1"/>
  <c r="U84" i="6"/>
  <c r="D35" i="1" l="1"/>
  <c r="O36" i="1"/>
  <c r="J36" i="1" s="1"/>
  <c r="U37" i="6"/>
  <c r="P37" i="6" s="1"/>
  <c r="O88" i="1"/>
  <c r="U85" i="6"/>
  <c r="D36" i="1" l="1"/>
  <c r="O37" i="1"/>
  <c r="J37" i="1" s="1"/>
  <c r="U38" i="6"/>
  <c r="P38" i="6" s="1"/>
  <c r="O89" i="1"/>
  <c r="U86" i="6"/>
  <c r="D37" i="1" l="1"/>
  <c r="O38" i="1"/>
  <c r="J38" i="1" s="1"/>
  <c r="U39" i="6"/>
  <c r="P39" i="6" s="1"/>
  <c r="O90" i="1"/>
  <c r="U87" i="6"/>
  <c r="D38" i="1" l="1"/>
  <c r="O39" i="1"/>
  <c r="J39" i="1" s="1"/>
  <c r="U40" i="6"/>
  <c r="P40" i="6" s="1"/>
  <c r="O91" i="1"/>
  <c r="U88" i="6"/>
  <c r="D39" i="1" l="1"/>
  <c r="O40" i="1"/>
  <c r="J40" i="1" s="1"/>
  <c r="U41" i="6"/>
  <c r="P41" i="6" s="1"/>
  <c r="O92" i="1"/>
  <c r="U89" i="6"/>
  <c r="D40" i="1" l="1"/>
  <c r="O41" i="1"/>
  <c r="J41" i="1" s="1"/>
  <c r="U42" i="6"/>
  <c r="P42" i="6" s="1"/>
  <c r="O93" i="1"/>
  <c r="U90" i="6"/>
  <c r="D41" i="1" l="1"/>
  <c r="O42" i="1"/>
  <c r="J42" i="1" s="1"/>
  <c r="U43" i="6"/>
  <c r="P43" i="6" s="1"/>
  <c r="U91" i="6"/>
  <c r="D42" i="1" l="1"/>
  <c r="O43" i="1"/>
  <c r="J43" i="1" s="1"/>
  <c r="U44" i="6"/>
  <c r="P44" i="6" s="1"/>
  <c r="U92" i="6"/>
  <c r="D43" i="1" l="1"/>
  <c r="O44" i="1"/>
  <c r="J44" i="1" s="1"/>
  <c r="U45" i="6"/>
  <c r="P45" i="6" s="1"/>
  <c r="U93" i="6"/>
  <c r="D44" i="1" l="1"/>
  <c r="O45" i="1"/>
  <c r="J45" i="1" s="1"/>
  <c r="U46" i="6"/>
  <c r="P46" i="6" s="1"/>
  <c r="U94" i="6"/>
  <c r="D45" i="1" l="1"/>
  <c r="O46" i="1"/>
  <c r="J46" i="1" s="1"/>
  <c r="U47" i="6"/>
  <c r="P47" i="6" s="1"/>
  <c r="U95" i="6"/>
  <c r="D46" i="1" l="1"/>
  <c r="O47" i="1"/>
  <c r="J47" i="1" s="1"/>
  <c r="U48" i="6"/>
  <c r="P48" i="6" s="1"/>
  <c r="D8" i="6"/>
  <c r="D36" i="6"/>
  <c r="D19" i="6"/>
  <c r="I31" i="6"/>
  <c r="D30" i="6"/>
  <c r="D9" i="6"/>
  <c r="I7" i="6"/>
  <c r="I32" i="6"/>
  <c r="I13" i="6"/>
  <c r="D46" i="6"/>
  <c r="I38" i="6"/>
  <c r="I20" i="6"/>
  <c r="D39" i="6"/>
  <c r="I34" i="6"/>
  <c r="D24" i="6"/>
  <c r="D29" i="6"/>
  <c r="I35" i="6"/>
  <c r="I19" i="6"/>
  <c r="I24" i="6"/>
  <c r="Q4" i="6"/>
  <c r="B4" i="6" s="1" a="1"/>
  <c r="B4" i="6" s="1"/>
  <c r="D4" i="6"/>
  <c r="D41" i="6"/>
  <c r="I42" i="6"/>
  <c r="D38" i="6"/>
  <c r="I25" i="6"/>
  <c r="D12" i="6"/>
  <c r="I49" i="6"/>
  <c r="I21" i="6"/>
  <c r="D23" i="6"/>
  <c r="I30" i="6"/>
  <c r="D31" i="6"/>
  <c r="I9" i="6"/>
  <c r="D26" i="6"/>
  <c r="I39" i="6"/>
  <c r="I45" i="6"/>
  <c r="I16" i="6"/>
  <c r="D45" i="6"/>
  <c r="I18" i="6"/>
  <c r="D25" i="6"/>
  <c r="D47" i="6"/>
  <c r="I43" i="6"/>
  <c r="D32" i="6"/>
  <c r="I28" i="6"/>
  <c r="I33" i="6"/>
  <c r="D43" i="6"/>
  <c r="D13" i="6"/>
  <c r="I51" i="6"/>
  <c r="Q101" i="6"/>
  <c r="H51" i="6"/>
  <c r="D44" i="6"/>
  <c r="I47" i="6"/>
  <c r="D11" i="6"/>
  <c r="D5" i="6"/>
  <c r="I48" i="6"/>
  <c r="I46" i="6"/>
  <c r="D22" i="6"/>
  <c r="I37" i="6"/>
  <c r="I10" i="6"/>
  <c r="D21" i="6"/>
  <c r="D35" i="6"/>
  <c r="D34" i="6"/>
  <c r="I40" i="6"/>
  <c r="D18" i="6"/>
  <c r="I15" i="6"/>
  <c r="I26" i="6"/>
  <c r="D37" i="6"/>
  <c r="I41" i="6"/>
  <c r="I44" i="6"/>
  <c r="I50" i="6"/>
  <c r="H50" i="6"/>
  <c r="Q100" i="6"/>
  <c r="I29" i="6"/>
  <c r="D40" i="6"/>
  <c r="I27" i="6"/>
  <c r="Q102" i="6"/>
  <c r="H52" i="6"/>
  <c r="I52" i="6"/>
  <c r="D6" i="6"/>
  <c r="I12" i="6"/>
  <c r="D17" i="6"/>
  <c r="D33" i="6"/>
  <c r="I11" i="6"/>
  <c r="D10" i="6"/>
  <c r="I36" i="6"/>
  <c r="I14" i="6"/>
  <c r="D16" i="6"/>
  <c r="D28" i="6"/>
  <c r="D14" i="6"/>
  <c r="D20" i="6"/>
  <c r="I22" i="6"/>
  <c r="D42" i="6"/>
  <c r="D7" i="6"/>
  <c r="I23" i="6"/>
  <c r="I8" i="6"/>
  <c r="D15" i="6"/>
  <c r="D27" i="6"/>
  <c r="I17" i="6"/>
  <c r="G52" i="6" a="1"/>
  <c r="G52" i="6" s="1"/>
  <c r="G51" i="6" a="1"/>
  <c r="G51" i="6" s="1"/>
  <c r="G50" i="6" a="1"/>
  <c r="G50" i="6" s="1"/>
  <c r="D47" i="1" l="1"/>
  <c r="O48" i="1"/>
  <c r="J48" i="1" s="1"/>
  <c r="D48" i="6"/>
  <c r="U49" i="6"/>
  <c r="P49" i="6" s="1"/>
  <c r="R101" i="6"/>
  <c r="A4" i="6"/>
  <c r="R4" i="6"/>
  <c r="Q5" i="6" s="1"/>
  <c r="R100" i="6"/>
  <c r="F50" i="6"/>
  <c r="F52" i="6"/>
  <c r="R102" i="6"/>
  <c r="F51" i="6"/>
  <c r="D48" i="1" l="1"/>
  <c r="O49" i="1"/>
  <c r="J49" i="1" s="1"/>
  <c r="D49" i="6"/>
  <c r="U50" i="6"/>
  <c r="P50" i="6" s="1"/>
  <c r="B5" i="6" a="1"/>
  <c r="B5" i="6" s="1"/>
  <c r="C4" i="6"/>
  <c r="D49" i="1" l="1"/>
  <c r="O50" i="1"/>
  <c r="J50" i="1" s="1"/>
  <c r="D50" i="6"/>
  <c r="U51" i="6"/>
  <c r="P51" i="6" s="1"/>
  <c r="A5" i="6"/>
  <c r="R5" i="6"/>
  <c r="C5" i="6" s="1"/>
  <c r="D50" i="1" l="1"/>
  <c r="O51" i="1"/>
  <c r="J51" i="1" s="1"/>
  <c r="D51" i="6"/>
  <c r="U52" i="6"/>
  <c r="P52" i="6" s="1"/>
  <c r="Q6" i="6"/>
  <c r="D51" i="1" l="1"/>
  <c r="O52" i="1"/>
  <c r="J52" i="1" s="1"/>
  <c r="D52" i="6"/>
  <c r="U53" i="6"/>
  <c r="P53" i="6" s="1"/>
  <c r="B6" i="6" a="1"/>
  <c r="B6" i="6" s="1"/>
  <c r="D52" i="1" l="1"/>
  <c r="O53" i="1"/>
  <c r="J53" i="1" s="1"/>
  <c r="I3" i="6"/>
  <c r="U54" i="6"/>
  <c r="P54" i="6" s="1"/>
  <c r="A6" i="6"/>
  <c r="R6" i="6"/>
  <c r="C6" i="6" s="1"/>
  <c r="D53" i="1" l="1"/>
  <c r="O54" i="1"/>
  <c r="J54" i="1" s="1"/>
  <c r="Q7" i="6"/>
  <c r="B7" i="6" s="1" a="1"/>
  <c r="B7" i="6" s="1"/>
  <c r="I4" i="6"/>
  <c r="U55" i="6"/>
  <c r="P55" i="6" s="1"/>
  <c r="D54" i="1" l="1"/>
  <c r="O55" i="1"/>
  <c r="J55" i="1" s="1"/>
  <c r="I5" i="6"/>
  <c r="U56" i="6"/>
  <c r="A7" i="6"/>
  <c r="R7" i="6"/>
  <c r="C7" i="6" s="1"/>
  <c r="P56" i="6" l="1"/>
  <c r="I6" i="6" s="1"/>
  <c r="D55" i="1"/>
  <c r="O56" i="1"/>
  <c r="Q8" i="6"/>
  <c r="J56" i="1" l="1"/>
  <c r="D56" i="1" s="1"/>
  <c r="B8" i="6" a="1"/>
  <c r="B8" i="6" s="1"/>
  <c r="A8" i="6" l="1"/>
  <c r="R8" i="6"/>
  <c r="C8" i="6" s="1"/>
  <c r="Q9" i="6" l="1"/>
  <c r="B9" i="6" l="1" a="1"/>
  <c r="B9" i="6" s="1"/>
  <c r="A9" i="6" l="1"/>
  <c r="R9" i="6"/>
  <c r="C9" i="6" s="1"/>
  <c r="Q10" i="6" l="1"/>
  <c r="B10" i="6" l="1" a="1"/>
  <c r="B10" i="6" s="1"/>
  <c r="A10" i="6" l="1"/>
  <c r="R10" i="6"/>
  <c r="C10" i="6" s="1"/>
  <c r="Q11" i="6" l="1"/>
  <c r="B11" i="6" s="1" a="1"/>
  <c r="B11" i="6" s="1"/>
  <c r="R11" i="6" l="1"/>
  <c r="C11" i="6" s="1"/>
  <c r="A11" i="6"/>
  <c r="Q12" i="6" l="1"/>
  <c r="B12" i="6" l="1" a="1"/>
  <c r="B12" i="6" s="1"/>
  <c r="A12" i="6" l="1"/>
  <c r="R12" i="6"/>
  <c r="C12" i="6" s="1"/>
  <c r="Q13" i="6" l="1"/>
  <c r="B13" i="6" l="1" a="1"/>
  <c r="B13" i="6" s="1"/>
  <c r="R13" i="6" l="1"/>
  <c r="C13" i="6" s="1"/>
  <c r="A13" i="6"/>
  <c r="Q14" i="6" l="1"/>
  <c r="B14" i="6" l="1" a="1"/>
  <c r="B14" i="6" s="1"/>
  <c r="A14" i="6" l="1"/>
  <c r="R14" i="6"/>
  <c r="C14" i="6" s="1"/>
  <c r="Q15" i="6" l="1"/>
  <c r="B15" i="6" l="1" a="1"/>
  <c r="B15" i="6" s="1"/>
  <c r="A15" i="6" l="1"/>
  <c r="R15" i="6"/>
  <c r="C15" i="6" s="1"/>
  <c r="Q16" i="6" l="1"/>
  <c r="B16" i="6" l="1" a="1"/>
  <c r="B16" i="6" s="1"/>
  <c r="A16" i="6" l="1"/>
  <c r="R16" i="6"/>
  <c r="C16" i="6" s="1"/>
  <c r="Q17" i="6" l="1"/>
  <c r="B17" i="6" s="1" a="1"/>
  <c r="B17" i="6" s="1"/>
  <c r="R17" i="6" l="1"/>
  <c r="C17" i="6" s="1"/>
  <c r="A17" i="6"/>
  <c r="Q18" i="6" l="1"/>
  <c r="B18" i="6" l="1" a="1"/>
  <c r="B18" i="6" s="1"/>
  <c r="R18" i="6" l="1"/>
  <c r="C18" i="6" s="1"/>
  <c r="A18" i="6"/>
  <c r="Q19" i="6" l="1"/>
  <c r="B19" i="6" l="1" a="1"/>
  <c r="B19" i="6" s="1"/>
  <c r="A19" i="6" l="1"/>
  <c r="R19" i="6"/>
  <c r="C19" i="6" s="1"/>
  <c r="Q20" i="6" l="1"/>
  <c r="B20" i="6" l="1" a="1"/>
  <c r="B20" i="6" s="1"/>
  <c r="A20" i="6" l="1"/>
  <c r="R20" i="6"/>
  <c r="C20" i="6" s="1"/>
  <c r="Q21" i="6" l="1"/>
  <c r="B21" i="6" l="1" a="1"/>
  <c r="B21" i="6" s="1"/>
  <c r="A21" i="6" l="1"/>
  <c r="R21" i="6"/>
  <c r="C21" i="6" s="1"/>
  <c r="Q22" i="6" l="1"/>
  <c r="B22" i="6" l="1" a="1"/>
  <c r="B22" i="6" s="1"/>
  <c r="A22" i="6" l="1"/>
  <c r="R22" i="6"/>
  <c r="C22" i="6" s="1"/>
  <c r="Q23" i="6" l="1"/>
  <c r="B23" i="6" l="1" a="1"/>
  <c r="B23" i="6" s="1"/>
  <c r="R23" i="6" l="1"/>
  <c r="C23" i="6" s="1"/>
  <c r="A23" i="6"/>
  <c r="Q24" i="6" l="1"/>
  <c r="B24" i="6" l="1" a="1"/>
  <c r="B24" i="6" s="1"/>
  <c r="R24" i="6" l="1"/>
  <c r="C24" i="6" s="1"/>
  <c r="A24" i="6"/>
  <c r="Q25" i="6" l="1"/>
  <c r="B25" i="6" l="1" a="1"/>
  <c r="B25" i="6" s="1"/>
  <c r="A25" i="6" l="1"/>
  <c r="R25" i="6"/>
  <c r="C25" i="6" s="1"/>
  <c r="Q26" i="6" l="1"/>
  <c r="B26" i="6" l="1" a="1"/>
  <c r="B26" i="6" s="1"/>
  <c r="R26" i="6" l="1"/>
  <c r="C26" i="6" s="1"/>
  <c r="Q27" i="6"/>
  <c r="A26" i="6"/>
  <c r="B27" i="6" l="1" a="1"/>
  <c r="B27" i="6" s="1"/>
  <c r="A27" i="6" l="1"/>
  <c r="R27" i="6"/>
  <c r="C27" i="6" s="1"/>
  <c r="Q28" i="6" l="1"/>
  <c r="B28" i="6" l="1" a="1"/>
  <c r="B28" i="6" s="1"/>
  <c r="R28" i="6" l="1"/>
  <c r="C28" i="6" s="1"/>
  <c r="A28" i="6"/>
  <c r="Q29" i="6" l="1"/>
  <c r="B29" i="6" l="1" a="1"/>
  <c r="B29" i="6" s="1"/>
  <c r="R29" i="6" l="1"/>
  <c r="C29" i="6" s="1"/>
  <c r="A29" i="6"/>
  <c r="Q30" i="6" l="1"/>
  <c r="B30" i="6" l="1" a="1"/>
  <c r="B30" i="6" s="1"/>
  <c r="R30" i="6" l="1"/>
  <c r="C30" i="6" s="1"/>
  <c r="A30" i="6"/>
  <c r="Q31" i="6" l="1"/>
  <c r="B31" i="6" l="1" a="1"/>
  <c r="B31" i="6" s="1"/>
  <c r="A31" i="6" l="1"/>
  <c r="R31" i="6"/>
  <c r="C31" i="6" s="1"/>
  <c r="Q32" i="6" l="1"/>
  <c r="B32" i="6" l="1" a="1"/>
  <c r="B32" i="6" s="1"/>
  <c r="R32" i="6" l="1"/>
  <c r="C32" i="6" s="1"/>
  <c r="A32" i="6"/>
  <c r="Q33" i="6" l="1"/>
  <c r="B33" i="6" l="1" a="1"/>
  <c r="B33" i="6" s="1"/>
  <c r="A33" i="6" l="1"/>
  <c r="R33" i="6"/>
  <c r="C33" i="6" s="1"/>
  <c r="Q34" i="6" l="1"/>
  <c r="B34" i="6" l="1" a="1"/>
  <c r="B34" i="6" s="1"/>
  <c r="A34" i="6" l="1"/>
  <c r="R34" i="6"/>
  <c r="C34" i="6" s="1"/>
  <c r="Q35" i="6" l="1"/>
  <c r="B35" i="6" l="1" a="1"/>
  <c r="B35" i="6" s="1"/>
  <c r="A35" i="6" l="1"/>
  <c r="R35" i="6"/>
  <c r="C35" i="6" s="1"/>
  <c r="Q36" i="6" l="1"/>
  <c r="B36" i="6" l="1" a="1"/>
  <c r="B36" i="6" s="1"/>
  <c r="R36" i="6" l="1"/>
  <c r="C36" i="6" s="1"/>
  <c r="A36" i="6"/>
  <c r="Q37" i="6" l="1"/>
  <c r="B37" i="6" l="1" a="1"/>
  <c r="B37" i="6" s="1"/>
  <c r="A37" i="6" l="1"/>
  <c r="R37" i="6"/>
  <c r="C37" i="6" s="1"/>
  <c r="Q38" i="6" l="1"/>
  <c r="B38" i="6" l="1" a="1"/>
  <c r="B38" i="6" s="1"/>
  <c r="R38" i="6" l="1"/>
  <c r="C38" i="6" s="1"/>
  <c r="A38" i="6"/>
  <c r="Q39" i="6" l="1"/>
  <c r="B39" i="6" l="1" a="1"/>
  <c r="B39" i="6" s="1"/>
  <c r="R39" i="6" l="1"/>
  <c r="C39" i="6" s="1"/>
  <c r="A39" i="6"/>
  <c r="Q40" i="6" l="1"/>
  <c r="B40" i="6" s="1" a="1"/>
  <c r="B40" i="6" s="1"/>
  <c r="A40" i="6" l="1"/>
  <c r="R40" i="6"/>
  <c r="C40" i="6" s="1"/>
  <c r="Q41" i="6" l="1"/>
  <c r="B41" i="6" l="1" a="1"/>
  <c r="B41" i="6" s="1"/>
  <c r="A41" i="6" l="1"/>
  <c r="R41" i="6"/>
  <c r="C41" i="6" s="1"/>
  <c r="Q42" i="6" l="1"/>
  <c r="B42" i="6" s="1" a="1"/>
  <c r="B42" i="6" s="1"/>
  <c r="R42" i="6" l="1"/>
  <c r="C42" i="6" s="1"/>
  <c r="A42" i="6"/>
  <c r="Q43" i="6" l="1"/>
  <c r="B43" i="6" l="1" a="1"/>
  <c r="B43" i="6" s="1"/>
  <c r="A43" i="6" l="1"/>
  <c r="R43" i="6"/>
  <c r="C43" i="6" s="1"/>
  <c r="Q44" i="6" l="1"/>
  <c r="B44" i="6" l="1" a="1"/>
  <c r="B44" i="6" s="1"/>
  <c r="R44" i="6" l="1"/>
  <c r="C44" i="6" s="1"/>
  <c r="A44" i="6"/>
  <c r="Q45" i="6" l="1"/>
  <c r="B45" i="6" l="1" a="1"/>
  <c r="B45" i="6" s="1"/>
  <c r="A45" i="6" l="1"/>
  <c r="R45" i="6"/>
  <c r="C45" i="6" s="1"/>
  <c r="Q46" i="6" l="1"/>
  <c r="B46" i="6" l="1" a="1"/>
  <c r="B46" i="6" s="1"/>
  <c r="A46" i="6" l="1"/>
  <c r="R46" i="6"/>
  <c r="C46" i="6" s="1"/>
  <c r="Q47" i="6" l="1"/>
  <c r="B47" i="6" l="1" a="1"/>
  <c r="B47" i="6" s="1"/>
  <c r="A47" i="6" l="1"/>
  <c r="R47" i="6"/>
  <c r="C47" i="6" s="1"/>
  <c r="Q48" i="6" l="1"/>
  <c r="B48" i="6" l="1" a="1"/>
  <c r="B48" i="6" s="1"/>
  <c r="R48" i="6" l="1"/>
  <c r="C48" i="6" s="1"/>
  <c r="A48" i="6"/>
  <c r="Q49" i="6" l="1"/>
  <c r="B49" i="6" l="1" a="1"/>
  <c r="B49" i="6" s="1"/>
  <c r="A49" i="6" l="1"/>
  <c r="R49" i="6"/>
  <c r="C49" i="6" s="1"/>
  <c r="Q50" i="6" l="1"/>
  <c r="B50" i="6" l="1" a="1"/>
  <c r="B50" i="6" s="1"/>
  <c r="A50" i="6" l="1"/>
  <c r="R50" i="6"/>
  <c r="C50" i="6" s="1"/>
  <c r="Q51" i="6" l="1"/>
  <c r="B51" i="6" l="1" a="1"/>
  <c r="B51" i="6" s="1"/>
  <c r="A51" i="6" l="1"/>
  <c r="R51" i="6"/>
  <c r="C51" i="6" s="1"/>
  <c r="Q52" i="6" l="1"/>
  <c r="B52" i="6" l="1" a="1"/>
  <c r="B52" i="6" s="1"/>
  <c r="R52" i="6" l="1"/>
  <c r="C52" i="6" s="1"/>
  <c r="A52" i="6"/>
  <c r="Q53" i="6" l="1"/>
  <c r="G3" i="6" l="1" a="1"/>
  <c r="G3" i="6" s="1"/>
  <c r="F3" i="6" l="1"/>
  <c r="R53" i="6"/>
  <c r="H3" i="6" s="1"/>
  <c r="Q54" i="6" l="1"/>
  <c r="G4" i="6" l="1" a="1"/>
  <c r="G4" i="6" s="1"/>
  <c r="F4" i="6" l="1"/>
  <c r="R54" i="6"/>
  <c r="H4" i="6" s="1"/>
  <c r="Q55" i="6"/>
  <c r="G5" i="6" l="1" a="1"/>
  <c r="G5" i="6" s="1"/>
  <c r="R55" i="6" l="1"/>
  <c r="H5" i="6" s="1"/>
  <c r="F5" i="6"/>
  <c r="Q56" i="6" l="1"/>
  <c r="G6" i="6" l="1" a="1"/>
  <c r="G6" i="6" s="1"/>
  <c r="F6" i="6" l="1"/>
  <c r="R56" i="6"/>
  <c r="H6" i="6" s="1"/>
  <c r="Q57" i="6" l="1"/>
  <c r="G7" i="6" l="1" a="1"/>
  <c r="G7" i="6" s="1"/>
  <c r="F7" i="6" l="1"/>
  <c r="R57" i="6"/>
  <c r="H7" i="6" s="1"/>
  <c r="Q58" i="6" l="1"/>
  <c r="G8" i="6" l="1" a="1"/>
  <c r="G8" i="6" s="1"/>
  <c r="F8" i="6" l="1"/>
  <c r="R58" i="6"/>
  <c r="H8" i="6" s="1"/>
  <c r="Q59" i="6" l="1"/>
  <c r="G9" i="6" l="1" a="1"/>
  <c r="G9" i="6" s="1"/>
  <c r="F9" i="6" l="1"/>
  <c r="R59" i="6"/>
  <c r="H9" i="6" s="1"/>
  <c r="Q60" i="6" l="1"/>
  <c r="G10" i="6" l="1" a="1"/>
  <c r="G10" i="6" s="1"/>
  <c r="F10" i="6" l="1"/>
  <c r="R60" i="6"/>
  <c r="H10" i="6" s="1"/>
  <c r="Q61" i="6" l="1"/>
  <c r="G11" i="6" l="1" a="1"/>
  <c r="G11" i="6" s="1"/>
  <c r="F11" i="6" l="1"/>
  <c r="R61" i="6"/>
  <c r="H11" i="6" s="1"/>
  <c r="Q62" i="6" l="1"/>
  <c r="G12" i="6" l="1" a="1"/>
  <c r="G12" i="6" s="1"/>
  <c r="F12" i="6" l="1"/>
  <c r="R62" i="6"/>
  <c r="H12" i="6" s="1"/>
  <c r="Q63" i="6" l="1"/>
  <c r="G13" i="6" l="1" a="1"/>
  <c r="G13" i="6" s="1"/>
  <c r="R63" i="6" l="1"/>
  <c r="H13" i="6" s="1"/>
  <c r="F13" i="6"/>
  <c r="Q64" i="6" l="1"/>
  <c r="G14" i="6" l="1" a="1"/>
  <c r="G14" i="6" s="1"/>
  <c r="R64" i="6" l="1"/>
  <c r="H14" i="6" s="1"/>
  <c r="F14" i="6"/>
  <c r="Q65" i="6"/>
  <c r="G15" i="6" l="1" a="1"/>
  <c r="G15" i="6" s="1"/>
  <c r="R65" i="6" l="1"/>
  <c r="H15" i="6" s="1"/>
  <c r="F15" i="6"/>
  <c r="Q66" i="6" l="1"/>
  <c r="G16" i="6" l="1" a="1"/>
  <c r="G16" i="6" s="1"/>
  <c r="R66" i="6" l="1"/>
  <c r="H16" i="6" s="1"/>
  <c r="F16" i="6"/>
  <c r="Q67" i="6"/>
  <c r="G17" i="6" l="1" a="1"/>
  <c r="G17" i="6" s="1"/>
  <c r="F17" i="6" l="1"/>
  <c r="R67" i="6"/>
  <c r="H17" i="6" s="1"/>
  <c r="Q68" i="6" l="1"/>
  <c r="G18" i="6" l="1" a="1"/>
  <c r="G18" i="6" s="1"/>
  <c r="R68" i="6" l="1"/>
  <c r="H18" i="6" s="1"/>
  <c r="F18" i="6"/>
  <c r="Q69" i="6" l="1"/>
  <c r="G19" i="6" l="1" a="1"/>
  <c r="G19" i="6" s="1"/>
  <c r="R69" i="6" l="1"/>
  <c r="H19" i="6" s="1"/>
  <c r="F19" i="6"/>
  <c r="Q70" i="6" l="1"/>
  <c r="G20" i="6" l="1" a="1"/>
  <c r="G20" i="6" s="1"/>
  <c r="R70" i="6" l="1"/>
  <c r="H20" i="6" s="1"/>
  <c r="F20" i="6"/>
  <c r="Q71" i="6" l="1"/>
  <c r="G21" i="6" l="1" a="1"/>
  <c r="G21" i="6" s="1"/>
  <c r="F21" i="6" l="1"/>
  <c r="R71" i="6"/>
  <c r="H21" i="6" s="1"/>
  <c r="Q72" i="6" l="1"/>
  <c r="G22" i="6" l="1" a="1"/>
  <c r="G22" i="6" s="1"/>
  <c r="R72" i="6" l="1"/>
  <c r="H22" i="6" s="1"/>
  <c r="F22" i="6"/>
  <c r="Q73" i="6" l="1"/>
  <c r="G23" i="6" s="1" a="1"/>
  <c r="G23" i="6" s="1"/>
  <c r="R73" i="6" l="1"/>
  <c r="H23" i="6" s="1"/>
  <c r="F23" i="6"/>
  <c r="Q74" i="6" l="1"/>
  <c r="G24" i="6" s="1" a="1"/>
  <c r="G24" i="6" s="1"/>
  <c r="F24" i="6" l="1"/>
  <c r="R74" i="6"/>
  <c r="H24" i="6" s="1"/>
  <c r="Q75" i="6" l="1"/>
  <c r="G25" i="6" l="1" a="1"/>
  <c r="G25" i="6" s="1"/>
  <c r="F25" i="6" l="1"/>
  <c r="R75" i="6"/>
  <c r="H25" i="6" s="1"/>
  <c r="Q76" i="6" l="1"/>
  <c r="G26" i="6" l="1" a="1"/>
  <c r="G26" i="6" s="1"/>
  <c r="F26" i="6" l="1"/>
  <c r="R76" i="6"/>
  <c r="H26" i="6" s="1"/>
  <c r="Q77" i="6" l="1"/>
  <c r="G27" i="6" l="1" a="1"/>
  <c r="G27" i="6" s="1"/>
  <c r="F27" i="6" l="1"/>
  <c r="R77" i="6"/>
  <c r="H27" i="6" s="1"/>
  <c r="Q78" i="6" l="1"/>
  <c r="G28" i="6" l="1" a="1"/>
  <c r="G28" i="6" s="1"/>
  <c r="F28" i="6" l="1"/>
  <c r="R78" i="6"/>
  <c r="H28" i="6" s="1"/>
  <c r="Q79" i="6" l="1"/>
  <c r="G29" i="6" l="1" a="1"/>
  <c r="G29" i="6" s="1"/>
  <c r="F29" i="6" l="1"/>
  <c r="R79" i="6"/>
  <c r="H29" i="6" s="1"/>
  <c r="Q80" i="6" l="1"/>
  <c r="G30" i="6" l="1" a="1"/>
  <c r="G30" i="6" s="1"/>
  <c r="R80" i="6" l="1"/>
  <c r="H30" i="6" s="1"/>
  <c r="F30" i="6"/>
  <c r="Q81" i="6" l="1"/>
  <c r="G31" i="6" l="1" a="1"/>
  <c r="G31" i="6" s="1"/>
  <c r="F31" i="6" l="1"/>
  <c r="R81" i="6"/>
  <c r="H31" i="6" s="1"/>
  <c r="Q82" i="6" l="1"/>
  <c r="G32" i="6" s="1" a="1"/>
  <c r="G32" i="6" s="1"/>
  <c r="F32" i="6" l="1"/>
  <c r="R82" i="6"/>
  <c r="H32" i="6" s="1"/>
  <c r="Q83" i="6" l="1"/>
  <c r="G33" i="6" l="1" a="1"/>
  <c r="G33" i="6" s="1"/>
  <c r="F33" i="6" l="1"/>
  <c r="R83" i="6"/>
  <c r="H33" i="6" s="1"/>
  <c r="Q84" i="6" l="1"/>
  <c r="G34" i="6" l="1" a="1"/>
  <c r="G34" i="6" s="1"/>
  <c r="F34" i="6" l="1"/>
  <c r="R84" i="6"/>
  <c r="H34" i="6" s="1"/>
  <c r="Q85" i="6" l="1"/>
  <c r="G35" i="6" l="1" a="1"/>
  <c r="G35" i="6" s="1"/>
  <c r="F35" i="6" l="1"/>
  <c r="R85" i="6"/>
  <c r="H35" i="6" s="1"/>
  <c r="Q86" i="6" l="1"/>
  <c r="G36" i="6" l="1" a="1"/>
  <c r="G36" i="6" s="1"/>
  <c r="F36" i="6" l="1"/>
  <c r="R86" i="6"/>
  <c r="H36" i="6" s="1"/>
  <c r="Q87" i="6" l="1"/>
  <c r="G37" i="6" l="1" a="1"/>
  <c r="G37" i="6" s="1"/>
  <c r="R87" i="6" l="1"/>
  <c r="H37" i="6" s="1"/>
  <c r="F37" i="6"/>
  <c r="Q88" i="6" l="1"/>
  <c r="G38" i="6" l="1" a="1"/>
  <c r="G38" i="6" s="1"/>
  <c r="F38" i="6" l="1"/>
  <c r="R88" i="6"/>
  <c r="H38" i="6" s="1"/>
  <c r="Q89" i="6" l="1"/>
  <c r="G39" i="6" l="1" a="1"/>
  <c r="G39" i="6" s="1"/>
  <c r="R89" i="6" l="1"/>
  <c r="H39" i="6" s="1"/>
  <c r="F39" i="6"/>
  <c r="Q90" i="6" l="1"/>
  <c r="G40" i="6" l="1" a="1"/>
  <c r="G40" i="6" s="1"/>
  <c r="F40" i="6" l="1"/>
  <c r="R90" i="6"/>
  <c r="H40" i="6" s="1"/>
  <c r="Q91" i="6" l="1"/>
  <c r="G41" i="6" l="1" a="1"/>
  <c r="G41" i="6" s="1"/>
  <c r="F41" i="6" l="1"/>
  <c r="R91" i="6"/>
  <c r="H41" i="6" s="1"/>
  <c r="Q92" i="6" l="1"/>
  <c r="G42" i="6" l="1" a="1"/>
  <c r="G42" i="6" s="1"/>
  <c r="R92" i="6" l="1"/>
  <c r="H42" i="6" s="1"/>
  <c r="Q93" i="6"/>
  <c r="F42" i="6"/>
  <c r="G43" i="6" l="1" a="1"/>
  <c r="G43" i="6" s="1"/>
  <c r="R93" i="6" l="1"/>
  <c r="H43" i="6" s="1"/>
  <c r="F43" i="6"/>
  <c r="Q94" i="6" l="1"/>
  <c r="G44" i="6" l="1" a="1"/>
  <c r="G44" i="6" s="1"/>
  <c r="R94" i="6" l="1"/>
  <c r="H44" i="6" s="1"/>
  <c r="F44" i="6"/>
  <c r="Q95" i="6" l="1"/>
  <c r="G45" i="6" l="1" a="1"/>
  <c r="G45" i="6" s="1"/>
  <c r="R95" i="6" l="1"/>
  <c r="H45" i="6" s="1"/>
  <c r="F45" i="6"/>
  <c r="Q96" i="6" l="1"/>
  <c r="G46" i="6" l="1" a="1"/>
  <c r="G46" i="6" s="1"/>
  <c r="R96" i="6" l="1"/>
  <c r="H46" i="6" s="1"/>
  <c r="Q97" i="6"/>
  <c r="F46" i="6"/>
  <c r="G47" i="6" l="1" a="1"/>
  <c r="G47" i="6" s="1"/>
  <c r="F47" i="6" l="1"/>
  <c r="R97" i="6"/>
  <c r="H47" i="6" s="1"/>
  <c r="Q98" i="6" l="1"/>
  <c r="G48" i="6" l="1" a="1"/>
  <c r="G48" i="6" s="1"/>
  <c r="R98" i="6" l="1"/>
  <c r="H48" i="6" s="1"/>
  <c r="F48" i="6"/>
  <c r="Q99" i="6"/>
  <c r="G49" i="6" l="1" a="1"/>
  <c r="G49" i="6" s="1"/>
  <c r="R99" i="6" l="1"/>
  <c r="H49" i="6" s="1"/>
  <c r="F49" i="6"/>
  <c r="B4" i="1" l="1" a="1"/>
  <c r="B4" i="1" s="1"/>
  <c r="D3" i="1"/>
  <c r="C3" i="1"/>
  <c r="L4" i="1" l="1"/>
  <c r="K5" i="1"/>
  <c r="A4" i="1"/>
  <c r="C4" i="1"/>
  <c r="B5" i="1" l="1" a="1"/>
  <c r="B5" i="1" s="1"/>
  <c r="L5" i="1" l="1"/>
  <c r="K6" i="1"/>
  <c r="A5" i="1"/>
  <c r="C5" i="1"/>
  <c r="B6" i="1" l="1" a="1"/>
  <c r="B6" i="1" s="1"/>
  <c r="L6" i="1" l="1"/>
  <c r="K7" i="1"/>
  <c r="A6" i="1"/>
  <c r="C6" i="1"/>
  <c r="B7" i="1" l="1" a="1"/>
  <c r="B7" i="1" s="1"/>
  <c r="L7" i="1" l="1"/>
  <c r="K8" i="1"/>
  <c r="A7" i="1"/>
  <c r="C7" i="1"/>
  <c r="B8" i="1" l="1" a="1"/>
  <c r="B8" i="1" s="1"/>
  <c r="L8" i="1" l="1"/>
  <c r="K9" i="1"/>
  <c r="C8" i="1"/>
  <c r="A8" i="1"/>
  <c r="B9" i="1" l="1" a="1"/>
  <c r="B9" i="1" s="1"/>
  <c r="L9" i="1" l="1"/>
  <c r="K10" i="1" s="1"/>
  <c r="A9" i="1"/>
  <c r="C9" i="1" l="1"/>
  <c r="B10" i="1" a="1"/>
  <c r="B10" i="1" s="1"/>
  <c r="L10" i="1" l="1"/>
  <c r="K11" i="1"/>
  <c r="A10" i="1"/>
  <c r="C10" i="1"/>
  <c r="B11" i="1" l="1" a="1"/>
  <c r="B11" i="1" s="1"/>
  <c r="L11" i="1" l="1"/>
  <c r="K12" i="1"/>
  <c r="C11" i="1"/>
  <c r="A11" i="1"/>
  <c r="B12" i="1" l="1" a="1"/>
  <c r="B12" i="1" s="1"/>
  <c r="L12" i="1" l="1"/>
  <c r="K13" i="1"/>
  <c r="A12" i="1"/>
  <c r="C12" i="1"/>
  <c r="B13" i="1" l="1" a="1"/>
  <c r="B13" i="1" s="1"/>
  <c r="L13" i="1" l="1"/>
  <c r="K14" i="1"/>
  <c r="A13" i="1"/>
  <c r="C13" i="1"/>
  <c r="B14" i="1" l="1" a="1"/>
  <c r="B14" i="1" s="1"/>
  <c r="L14" i="1" l="1"/>
  <c r="K15" i="1"/>
  <c r="A14" i="1"/>
  <c r="C14" i="1"/>
  <c r="B15" i="1" l="1" a="1"/>
  <c r="B15" i="1" s="1"/>
  <c r="L15" i="1" l="1"/>
  <c r="K16" i="1"/>
  <c r="C15" i="1"/>
  <c r="A15" i="1"/>
  <c r="B16" i="1" l="1" a="1"/>
  <c r="B16" i="1" s="1"/>
  <c r="L16" i="1" l="1"/>
  <c r="K17" i="1"/>
  <c r="A16" i="1"/>
  <c r="C16" i="1"/>
  <c r="B17" i="1" l="1" a="1"/>
  <c r="B17" i="1" s="1"/>
  <c r="L17" i="1" l="1"/>
  <c r="K18" i="1"/>
  <c r="A17" i="1"/>
  <c r="C17" i="1"/>
  <c r="B18" i="1" l="1" a="1"/>
  <c r="B18" i="1" s="1"/>
  <c r="L18" i="1" l="1"/>
  <c r="K19" i="1"/>
  <c r="A18" i="1"/>
  <c r="C18" i="1"/>
  <c r="B19" i="1" l="1" a="1"/>
  <c r="B19" i="1" s="1"/>
  <c r="L19" i="1" l="1"/>
  <c r="K20" i="1"/>
  <c r="C19" i="1"/>
  <c r="A19" i="1"/>
  <c r="B20" i="1" l="1" a="1"/>
  <c r="B20" i="1" s="1"/>
  <c r="L20" i="1" l="1"/>
  <c r="K21" i="1"/>
  <c r="A20" i="1"/>
  <c r="C20" i="1"/>
  <c r="B21" i="1" l="1" a="1"/>
  <c r="B21" i="1" s="1"/>
  <c r="L21" i="1" l="1"/>
  <c r="K22" i="1"/>
  <c r="A21" i="1"/>
  <c r="C21" i="1"/>
  <c r="B22" i="1" l="1" a="1"/>
  <c r="B22" i="1" s="1"/>
  <c r="L22" i="1" l="1"/>
  <c r="K23" i="1" s="1"/>
  <c r="A22" i="1"/>
  <c r="C22" i="1" l="1"/>
  <c r="B23" i="1" a="1"/>
  <c r="B23" i="1" s="1"/>
  <c r="L23" i="1" l="1"/>
  <c r="K24" i="1"/>
  <c r="C23" i="1"/>
  <c r="A23" i="1"/>
  <c r="B24" i="1" l="1" a="1"/>
  <c r="B24" i="1" s="1"/>
  <c r="L24" i="1" l="1"/>
  <c r="K25" i="1"/>
  <c r="A24" i="1"/>
  <c r="C24" i="1"/>
  <c r="B25" i="1" l="1" a="1"/>
  <c r="B25" i="1" s="1"/>
  <c r="L25" i="1" l="1"/>
  <c r="K26" i="1"/>
  <c r="A25" i="1"/>
  <c r="C25" i="1"/>
  <c r="B26" i="1" l="1" a="1"/>
  <c r="B26" i="1" s="1"/>
  <c r="L26" i="1" l="1"/>
  <c r="K27" i="1"/>
  <c r="A26" i="1"/>
  <c r="C26" i="1"/>
  <c r="B27" i="1" l="1" a="1"/>
  <c r="B27" i="1" s="1"/>
  <c r="L27" i="1" l="1"/>
  <c r="K28" i="1"/>
  <c r="C27" i="1"/>
  <c r="A27" i="1"/>
  <c r="B28" i="1" l="1" a="1"/>
  <c r="B28" i="1" s="1"/>
  <c r="L28" i="1" l="1"/>
  <c r="K29" i="1"/>
  <c r="A28" i="1"/>
  <c r="C28" i="1"/>
  <c r="B29" i="1" l="1" a="1"/>
  <c r="B29" i="1" s="1"/>
  <c r="L29" i="1" l="1"/>
  <c r="K30" i="1"/>
  <c r="A29" i="1"/>
  <c r="C29" i="1"/>
  <c r="B30" i="1" l="1" a="1"/>
  <c r="B30" i="1" s="1"/>
  <c r="L30" i="1" l="1"/>
  <c r="K31" i="1"/>
  <c r="A30" i="1"/>
  <c r="C30" i="1"/>
  <c r="B31" i="1" l="1" a="1"/>
  <c r="B31" i="1" s="1"/>
  <c r="L31" i="1" l="1"/>
  <c r="K32" i="1"/>
  <c r="A31" i="1"/>
  <c r="C31" i="1"/>
  <c r="B32" i="1" l="1" a="1"/>
  <c r="B32" i="1" s="1"/>
  <c r="L32" i="1" l="1"/>
  <c r="K33" i="1"/>
  <c r="A32" i="1"/>
  <c r="C32" i="1"/>
  <c r="B33" i="1" l="1" a="1"/>
  <c r="B33" i="1" s="1"/>
  <c r="L33" i="1" l="1"/>
  <c r="K34" i="1"/>
  <c r="C33" i="1"/>
  <c r="A33" i="1"/>
  <c r="B34" i="1" l="1" a="1"/>
  <c r="B34" i="1" s="1"/>
  <c r="L34" i="1" l="1"/>
  <c r="K35" i="1"/>
  <c r="A34" i="1"/>
  <c r="C34" i="1"/>
  <c r="B35" i="1" l="1" a="1"/>
  <c r="B35" i="1" s="1"/>
  <c r="L35" i="1" l="1"/>
  <c r="K36" i="1"/>
  <c r="A35" i="1"/>
  <c r="C35" i="1"/>
  <c r="B36" i="1" l="1" a="1"/>
  <c r="B36" i="1" s="1"/>
  <c r="L36" i="1" l="1"/>
  <c r="K37" i="1"/>
  <c r="A36" i="1"/>
  <c r="C36" i="1"/>
  <c r="B37" i="1" l="1" a="1"/>
  <c r="B37" i="1" s="1"/>
  <c r="L37" i="1" l="1"/>
  <c r="K38" i="1"/>
  <c r="C37" i="1"/>
  <c r="A37" i="1"/>
  <c r="B38" i="1" l="1" a="1"/>
  <c r="B38" i="1" s="1"/>
  <c r="L38" i="1" l="1"/>
  <c r="K39" i="1"/>
  <c r="A38" i="1"/>
  <c r="C38" i="1"/>
  <c r="B39" i="1" l="1" a="1"/>
  <c r="B39" i="1" s="1"/>
  <c r="L39" i="1" l="1"/>
  <c r="K40" i="1"/>
  <c r="A39" i="1"/>
  <c r="C39" i="1"/>
  <c r="B40" i="1" l="1" a="1"/>
  <c r="B40" i="1" s="1"/>
  <c r="L40" i="1" l="1"/>
  <c r="K41" i="1"/>
  <c r="A40" i="1"/>
  <c r="C40" i="1"/>
  <c r="B41" i="1" l="1" a="1"/>
  <c r="B41" i="1" s="1"/>
  <c r="L41" i="1" l="1"/>
  <c r="K42" i="1"/>
  <c r="C41" i="1"/>
  <c r="A41" i="1"/>
  <c r="B42" i="1" l="1" a="1"/>
  <c r="B42" i="1" s="1"/>
  <c r="L42" i="1" l="1"/>
  <c r="C42" i="1" s="1"/>
  <c r="K43" i="1"/>
  <c r="A42" i="1"/>
  <c r="B43" i="1" l="1" a="1"/>
  <c r="B43" i="1" s="1"/>
  <c r="L43" i="1" l="1"/>
  <c r="K44" i="1" s="1"/>
  <c r="A43" i="1"/>
  <c r="C43" i="1" l="1"/>
  <c r="B44" i="1" a="1"/>
  <c r="B44" i="1" s="1"/>
  <c r="L44" i="1" l="1"/>
  <c r="K45" i="1"/>
  <c r="A44" i="1"/>
  <c r="C44" i="1"/>
  <c r="B45" i="1" l="1" a="1"/>
  <c r="B45" i="1" s="1"/>
  <c r="L45" i="1" l="1"/>
  <c r="C45" i="1" s="1"/>
  <c r="K46" i="1"/>
  <c r="A45" i="1"/>
  <c r="B46" i="1" l="1" a="1"/>
  <c r="B46" i="1" s="1"/>
  <c r="L46" i="1" l="1"/>
  <c r="K47" i="1"/>
  <c r="A46" i="1"/>
  <c r="C46" i="1"/>
  <c r="B47" i="1" l="1" a="1"/>
  <c r="B47" i="1" s="1"/>
  <c r="L47" i="1" l="1"/>
  <c r="K48" i="1"/>
  <c r="A47" i="1"/>
  <c r="C47" i="1"/>
  <c r="B48" i="1" l="1" a="1"/>
  <c r="B48" i="1" s="1"/>
  <c r="L48" i="1" l="1"/>
  <c r="K49" i="1"/>
  <c r="A48" i="1"/>
  <c r="C48" i="1"/>
  <c r="B49" i="1" l="1" a="1"/>
  <c r="B49" i="1" s="1"/>
  <c r="L49" i="1" l="1"/>
  <c r="C49" i="1" s="1"/>
  <c r="K50" i="1"/>
  <c r="A49" i="1"/>
  <c r="B50" i="1" l="1" a="1"/>
  <c r="B50" i="1" s="1"/>
  <c r="L50" i="1" l="1"/>
  <c r="K51" i="1"/>
  <c r="A50" i="1"/>
  <c r="C50" i="1"/>
  <c r="B51" i="1" l="1" a="1"/>
  <c r="B51" i="1" s="1"/>
  <c r="L51" i="1" l="1"/>
  <c r="K52" i="1"/>
  <c r="A51" i="1"/>
  <c r="C51" i="1"/>
  <c r="B52" i="1" l="1" a="1"/>
  <c r="B52" i="1" s="1"/>
  <c r="L52" i="1" l="1"/>
  <c r="K53" i="1" s="1"/>
  <c r="A52" i="1"/>
  <c r="C52" i="1" l="1"/>
  <c r="B53" i="1" a="1"/>
  <c r="B53" i="1" s="1"/>
  <c r="L53" i="1" l="1"/>
  <c r="C53" i="1" s="1"/>
  <c r="K54" i="1"/>
  <c r="A53" i="1"/>
  <c r="B54" i="1" l="1" a="1"/>
  <c r="B54" i="1" s="1"/>
  <c r="L54" i="1" l="1"/>
  <c r="K55" i="1"/>
  <c r="A54" i="1"/>
  <c r="C54" i="1"/>
  <c r="B55" i="1" l="1" a="1"/>
  <c r="B55" i="1" s="1"/>
  <c r="L55" i="1" l="1"/>
  <c r="C55" i="1" s="1"/>
  <c r="K56" i="1"/>
  <c r="A55" i="1"/>
  <c r="B56" i="1" l="1" a="1"/>
  <c r="B56" i="1" s="1"/>
  <c r="L56" i="1" l="1"/>
  <c r="K57" i="1"/>
  <c r="A56" i="1"/>
  <c r="C56" i="1"/>
  <c r="B57" i="1" l="1" a="1"/>
  <c r="B57" i="1" s="1"/>
  <c r="L57" i="1" l="1"/>
  <c r="K58" i="1"/>
  <c r="C57" i="1"/>
  <c r="A57" i="1"/>
  <c r="B58" i="1" l="1" a="1"/>
  <c r="B58" i="1" s="1"/>
  <c r="L58" i="1" l="1"/>
  <c r="K59" i="1" s="1"/>
  <c r="A58" i="1"/>
  <c r="C58" i="1" l="1"/>
  <c r="B59" i="1" a="1"/>
  <c r="B59" i="1" s="1"/>
  <c r="L59" i="1" l="1"/>
  <c r="K60" i="1"/>
  <c r="C59" i="1"/>
  <c r="A59" i="1"/>
  <c r="B60" i="1" l="1" a="1"/>
  <c r="B60" i="1" s="1"/>
  <c r="L60" i="1" l="1"/>
  <c r="K61" i="1"/>
  <c r="C60" i="1"/>
  <c r="A60" i="1"/>
  <c r="B61" i="1" l="1" a="1"/>
  <c r="B61" i="1" s="1"/>
  <c r="L61" i="1" l="1"/>
  <c r="K62" i="1"/>
  <c r="C61" i="1"/>
  <c r="A61" i="1"/>
  <c r="B62" i="1" l="1" a="1"/>
  <c r="B62" i="1" s="1"/>
  <c r="L62" i="1" l="1"/>
  <c r="C62" i="1" s="1"/>
  <c r="K63" i="1"/>
  <c r="A62" i="1"/>
  <c r="B63" i="1" l="1" a="1"/>
  <c r="B63" i="1" s="1"/>
  <c r="L63" i="1" l="1"/>
  <c r="K64" i="1"/>
  <c r="C63" i="1"/>
  <c r="A63" i="1"/>
  <c r="B64" i="1" l="1" a="1"/>
  <c r="B64" i="1" s="1"/>
  <c r="L64" i="1" l="1"/>
  <c r="K65" i="1"/>
  <c r="C64" i="1"/>
  <c r="A64" i="1"/>
  <c r="B65" i="1" l="1" a="1"/>
  <c r="B65" i="1" s="1"/>
  <c r="L65" i="1" l="1"/>
  <c r="K66" i="1"/>
  <c r="C65" i="1"/>
  <c r="A65" i="1"/>
  <c r="B66" i="1" l="1" a="1"/>
  <c r="B66" i="1" s="1"/>
  <c r="L66" i="1" l="1"/>
  <c r="C66" i="1" s="1"/>
  <c r="K67" i="1"/>
  <c r="A66" i="1"/>
  <c r="B67" i="1" l="1" a="1"/>
  <c r="B67" i="1" s="1"/>
  <c r="L67" i="1" l="1"/>
  <c r="K68" i="1"/>
  <c r="C67" i="1"/>
  <c r="A67" i="1"/>
  <c r="B68" i="1" l="1" a="1"/>
  <c r="B68" i="1" s="1"/>
  <c r="L68" i="1" l="1"/>
  <c r="K69" i="1"/>
  <c r="C68" i="1"/>
  <c r="A68" i="1"/>
  <c r="B69" i="1" l="1" a="1"/>
  <c r="B69" i="1" s="1"/>
  <c r="L69" i="1" l="1"/>
  <c r="K70" i="1"/>
  <c r="C69" i="1"/>
  <c r="A69" i="1"/>
  <c r="B70" i="1" l="1" a="1"/>
  <c r="B70" i="1" s="1"/>
  <c r="L70" i="1" l="1"/>
  <c r="K71" i="1"/>
  <c r="C70" i="1"/>
  <c r="A70" i="1"/>
  <c r="B71" i="1" l="1" a="1"/>
  <c r="B71" i="1" s="1"/>
  <c r="L71" i="1" l="1"/>
  <c r="K72" i="1"/>
  <c r="A71" i="1"/>
  <c r="C71" i="1"/>
  <c r="B72" i="1" l="1" a="1"/>
  <c r="B72" i="1" s="1"/>
  <c r="L72" i="1" l="1"/>
  <c r="K73" i="1"/>
  <c r="A72" i="1"/>
  <c r="C72" i="1"/>
  <c r="B73" i="1" l="1" a="1"/>
  <c r="B73" i="1" s="1"/>
  <c r="L73" i="1" l="1"/>
  <c r="C73" i="1" s="1"/>
  <c r="K74" i="1"/>
  <c r="A73" i="1"/>
  <c r="B74" i="1" l="1" a="1"/>
  <c r="B74" i="1" s="1"/>
  <c r="L74" i="1" l="1"/>
  <c r="C74" i="1" s="1"/>
  <c r="K75" i="1"/>
  <c r="A74" i="1"/>
  <c r="B75" i="1" l="1" a="1"/>
  <c r="B75" i="1" s="1"/>
  <c r="L75" i="1" l="1"/>
  <c r="K76" i="1"/>
  <c r="C75" i="1"/>
  <c r="A75" i="1"/>
  <c r="B76" i="1" l="1" a="1"/>
  <c r="B76" i="1" s="1"/>
  <c r="L76" i="1" l="1"/>
  <c r="K77" i="1"/>
  <c r="A76" i="1"/>
  <c r="C76" i="1"/>
  <c r="B77" i="1" l="1" a="1"/>
  <c r="B77" i="1" s="1"/>
  <c r="L77" i="1" l="1"/>
  <c r="K78" i="1"/>
  <c r="C77" i="1"/>
  <c r="A77" i="1"/>
  <c r="B78" i="1" l="1" a="1"/>
  <c r="B78" i="1" s="1"/>
  <c r="L78" i="1" l="1"/>
  <c r="K79" i="1"/>
  <c r="C78" i="1"/>
  <c r="A78" i="1"/>
  <c r="B79" i="1" l="1" a="1"/>
  <c r="B79" i="1" s="1"/>
  <c r="L79" i="1" l="1"/>
  <c r="K80" i="1"/>
  <c r="C79" i="1"/>
  <c r="A79" i="1"/>
  <c r="B80" i="1" l="1" a="1"/>
  <c r="B80" i="1" s="1"/>
  <c r="L80" i="1" l="1"/>
  <c r="K81" i="1"/>
  <c r="A80" i="1"/>
  <c r="C80" i="1"/>
  <c r="B81" i="1" l="1" a="1"/>
  <c r="B81" i="1" s="1"/>
  <c r="L81" i="1" l="1"/>
  <c r="K82" i="1"/>
  <c r="C81" i="1"/>
  <c r="A81" i="1"/>
  <c r="B82" i="1" l="1" a="1"/>
  <c r="B82" i="1" s="1"/>
  <c r="L82" i="1" l="1"/>
  <c r="C82" i="1" s="1"/>
  <c r="K83" i="1"/>
  <c r="A82" i="1"/>
  <c r="B83" i="1" l="1" a="1"/>
  <c r="B83" i="1" s="1"/>
  <c r="L83" i="1" l="1"/>
  <c r="K84" i="1"/>
  <c r="C83" i="1"/>
  <c r="A83" i="1"/>
  <c r="B84" i="1" l="1" a="1"/>
  <c r="B84" i="1" s="1"/>
  <c r="L84" i="1" l="1"/>
  <c r="K85" i="1"/>
  <c r="A84" i="1"/>
  <c r="C84" i="1"/>
  <c r="B85" i="1" l="1" a="1"/>
  <c r="B85" i="1" s="1"/>
  <c r="L85" i="1" l="1"/>
  <c r="C85" i="1" s="1"/>
  <c r="K86" i="1"/>
  <c r="A85" i="1"/>
  <c r="B86" i="1" l="1" a="1"/>
  <c r="B86" i="1" s="1"/>
  <c r="L86" i="1" s="1"/>
  <c r="C86" i="1" l="1"/>
  <c r="A86" i="1"/>
  <c r="D93" i="1"/>
  <c r="D91" i="1"/>
  <c r="D102" i="1"/>
  <c r="D92" i="1"/>
  <c r="D94" i="1"/>
  <c r="K87" i="1"/>
  <c r="D90" i="1" l="1"/>
  <c r="D88" i="1"/>
  <c r="D89" i="1"/>
  <c r="D87" i="1"/>
  <c r="D98" i="1"/>
  <c r="D99" i="1"/>
  <c r="D97" i="1"/>
  <c r="B87" i="1" a="1"/>
  <c r="B87" i="1" s="1"/>
  <c r="D96" i="1"/>
  <c r="D95" i="1"/>
  <c r="D100" i="1"/>
  <c r="D101" i="1"/>
  <c r="L87" i="1" l="1"/>
  <c r="C87" i="1" s="1"/>
  <c r="A87" i="1"/>
  <c r="K88" i="1" l="1"/>
  <c r="B88" i="1" s="1" a="1"/>
  <c r="B88" i="1" s="1"/>
  <c r="L88" i="1" l="1"/>
  <c r="C88" i="1" s="1"/>
  <c r="A88" i="1"/>
  <c r="K89" i="1"/>
  <c r="B89" i="1" l="1" a="1"/>
  <c r="B89" i="1" s="1"/>
  <c r="L89" i="1" l="1"/>
  <c r="C89" i="1" s="1"/>
  <c r="A89" i="1"/>
  <c r="K90" i="1"/>
  <c r="B90" i="1" l="1" a="1"/>
  <c r="B90" i="1" s="1"/>
  <c r="L90" i="1" l="1"/>
  <c r="C90" i="1" s="1"/>
  <c r="A90" i="1"/>
  <c r="K91" i="1" l="1"/>
  <c r="B91" i="1" s="1" a="1"/>
  <c r="B91" i="1" s="1"/>
  <c r="L91" i="1" l="1"/>
  <c r="C91" i="1" s="1"/>
  <c r="A91" i="1"/>
  <c r="K92" i="1" l="1"/>
  <c r="B92" i="1" s="1" a="1"/>
  <c r="B92" i="1" s="1"/>
  <c r="L92" i="1" l="1"/>
  <c r="C92" i="1" s="1"/>
  <c r="A92" i="1"/>
  <c r="K93" i="1" l="1"/>
  <c r="B93" i="1" s="1" a="1"/>
  <c r="B93" i="1" s="1"/>
  <c r="L93" i="1" l="1"/>
  <c r="C93" i="1" s="1"/>
  <c r="A93" i="1"/>
  <c r="K94" i="1"/>
  <c r="B94" i="1" l="1" a="1"/>
  <c r="B94" i="1" s="1"/>
  <c r="L94" i="1" l="1"/>
  <c r="C94" i="1" s="1"/>
  <c r="A94" i="1"/>
  <c r="K95" i="1"/>
  <c r="B95" i="1" l="1" a="1"/>
  <c r="B95" i="1" s="1"/>
  <c r="L95" i="1" l="1"/>
  <c r="C95" i="1" s="1"/>
  <c r="A95" i="1"/>
  <c r="K96" i="1"/>
  <c r="B96" i="1" l="1" a="1"/>
  <c r="B96" i="1" s="1"/>
  <c r="L96" i="1" l="1"/>
  <c r="C96" i="1" s="1"/>
  <c r="A96" i="1"/>
  <c r="K97" i="1" l="1"/>
  <c r="B97" i="1" s="1" a="1"/>
  <c r="B97" i="1" s="1"/>
  <c r="L97" i="1" l="1"/>
  <c r="C97" i="1" s="1"/>
  <c r="A97" i="1"/>
  <c r="K98" i="1" l="1"/>
  <c r="B98" i="1" s="1" a="1"/>
  <c r="B98" i="1" s="1"/>
  <c r="L98" i="1" l="1"/>
  <c r="C98" i="1" s="1"/>
  <c r="A98" i="1"/>
  <c r="K99" i="1" l="1"/>
  <c r="B99" i="1" s="1" a="1"/>
  <c r="B99" i="1" s="1"/>
  <c r="L99" i="1" l="1"/>
  <c r="C99" i="1" s="1"/>
  <c r="A99" i="1"/>
  <c r="K100" i="1" l="1"/>
  <c r="B100" i="1" s="1" a="1"/>
  <c r="B100" i="1" s="1"/>
  <c r="L100" i="1" l="1"/>
  <c r="C100" i="1" s="1"/>
  <c r="A100" i="1"/>
  <c r="K101" i="1" l="1"/>
  <c r="B101" i="1" s="1" a="1"/>
  <c r="B101" i="1" s="1"/>
  <c r="L101" i="1" l="1"/>
  <c r="C101" i="1" s="1"/>
  <c r="A101" i="1"/>
  <c r="K102" i="1" l="1"/>
  <c r="B102" i="1" s="1" a="1"/>
  <c r="B102" i="1" s="1"/>
  <c r="L102" i="1" l="1"/>
  <c r="C102" i="1" s="1"/>
  <c r="A102" i="1"/>
</calcChain>
</file>

<file path=xl/sharedStrings.xml><?xml version="1.0" encoding="utf-8"?>
<sst xmlns="http://schemas.openxmlformats.org/spreadsheetml/2006/main" count="148" uniqueCount="116">
  <si>
    <t>Adı Soyadı</t>
  </si>
  <si>
    <t>Günlük Sayfa Sayısı</t>
  </si>
  <si>
    <t>Kitap Adı</t>
  </si>
  <si>
    <t>Sözler</t>
  </si>
  <si>
    <t>Şualar</t>
  </si>
  <si>
    <t>Mektubat</t>
  </si>
  <si>
    <t>Lem'alar</t>
  </si>
  <si>
    <t>Mesnevi Nuriye</t>
  </si>
  <si>
    <t>Sikke-i Tastik-i Gaybi</t>
  </si>
  <si>
    <t>İşaretü'l İ'caz</t>
  </si>
  <si>
    <t>Tarihçe-i Hayat</t>
  </si>
  <si>
    <t>Barla Lahikası</t>
  </si>
  <si>
    <t>Kastamonu Lahikası</t>
  </si>
  <si>
    <t>Emirdağ Lahikası -I</t>
  </si>
  <si>
    <t>Emirdağ Lahikası -II</t>
  </si>
  <si>
    <t>Asa-yı Musa</t>
  </si>
  <si>
    <t>İman ve Küfür Müvazeneleri</t>
  </si>
  <si>
    <t>Muhakemat</t>
  </si>
  <si>
    <t>SN</t>
  </si>
  <si>
    <t>İlk Sayfa</t>
  </si>
  <si>
    <t>Son Sayfa</t>
  </si>
  <si>
    <t>Haftalık</t>
  </si>
  <si>
    <t>Günlük Sayfa</t>
  </si>
  <si>
    <t>Sayfalar</t>
  </si>
  <si>
    <t>KişiNo</t>
  </si>
  <si>
    <t>Grup</t>
  </si>
  <si>
    <t>Risale-i Nur Kitapları</t>
  </si>
  <si>
    <t>BARIŞ</t>
  </si>
  <si>
    <t>FATİH</t>
  </si>
  <si>
    <t>FUAT</t>
  </si>
  <si>
    <t>GÖKHAN</t>
  </si>
  <si>
    <t>ORHAN</t>
  </si>
  <si>
    <t>MEHMET</t>
  </si>
  <si>
    <t>EVREN</t>
  </si>
  <si>
    <t>OKTAY</t>
  </si>
  <si>
    <t>HARUN</t>
  </si>
  <si>
    <t>YAVUZ</t>
  </si>
  <si>
    <t>UMUT</t>
  </si>
  <si>
    <t>HÜSEYİN CAHİT</t>
  </si>
  <si>
    <t>HAŞİM ONUR</t>
  </si>
  <si>
    <t>EYYUP SABRİ</t>
  </si>
  <si>
    <t>MUSTAFA</t>
  </si>
  <si>
    <t>UFUK</t>
  </si>
  <si>
    <t>AHMET ALİ</t>
  </si>
  <si>
    <t>HASAN</t>
  </si>
  <si>
    <t>KAMİL</t>
  </si>
  <si>
    <t>NEBİ</t>
  </si>
  <si>
    <t>ÖZCAN</t>
  </si>
  <si>
    <t>SERKAN</t>
  </si>
  <si>
    <t>YUSUF KENAN</t>
  </si>
  <si>
    <t>ÇETİN</t>
  </si>
  <si>
    <t>TARKAN</t>
  </si>
  <si>
    <t>ERGÜN</t>
  </si>
  <si>
    <t>KENAN AHMET</t>
  </si>
  <si>
    <t>URAL</t>
  </si>
  <si>
    <t>YAHYA</t>
  </si>
  <si>
    <t>FATİH NAZMİ</t>
  </si>
  <si>
    <t>TUFAN AKIN</t>
  </si>
  <si>
    <t>TURGAY YILMAZ</t>
  </si>
  <si>
    <t>GÖKMEN</t>
  </si>
  <si>
    <t>BÜLENT</t>
  </si>
  <si>
    <t>EROL</t>
  </si>
  <si>
    <t>BAHRİ</t>
  </si>
  <si>
    <t>MİRAÇ</t>
  </si>
  <si>
    <t>YÜCEL</t>
  </si>
  <si>
    <t>KUBİLAY</t>
  </si>
  <si>
    <t>HAYATİ</t>
  </si>
  <si>
    <t>SERDAL</t>
  </si>
  <si>
    <t>BÜNYAMİN</t>
  </si>
  <si>
    <t>ÖZGÜR</t>
  </si>
  <si>
    <t>FERDİ</t>
  </si>
  <si>
    <t>İLHAN</t>
  </si>
  <si>
    <t>SEMİH</t>
  </si>
  <si>
    <t>EMRE</t>
  </si>
  <si>
    <t>BAHATTİN</t>
  </si>
  <si>
    <t>İSMAİL</t>
  </si>
  <si>
    <t>MURAT</t>
  </si>
  <si>
    <t>AHMET</t>
  </si>
  <si>
    <t>HÜSEYİN YAVUZ</t>
  </si>
  <si>
    <t>YASER</t>
  </si>
  <si>
    <t>ÜLKÜ</t>
  </si>
  <si>
    <t>ÖZHAN</t>
  </si>
  <si>
    <t>MUHAMMET FATİH</t>
  </si>
  <si>
    <t>ÖZGÜR SİNAN</t>
  </si>
  <si>
    <t>MEHMET ÖZGÜR</t>
  </si>
  <si>
    <t>HACI</t>
  </si>
  <si>
    <t>MURAT ALİ</t>
  </si>
  <si>
    <t>MUSTAFA ALİ</t>
  </si>
  <si>
    <t>YUSUF ALİ</t>
  </si>
  <si>
    <t>HASAN ALİ</t>
  </si>
  <si>
    <t>ALİ</t>
  </si>
  <si>
    <t>KEMAL</t>
  </si>
  <si>
    <t>YAKUP</t>
  </si>
  <si>
    <t>CELİL</t>
  </si>
  <si>
    <t>ABDURRAHMAN</t>
  </si>
  <si>
    <t>ERDAL</t>
  </si>
  <si>
    <t>SERDAR</t>
  </si>
  <si>
    <t>MEHMET ALİ</t>
  </si>
  <si>
    <t>ABDURLLAH</t>
  </si>
  <si>
    <t>HÜSEYİN</t>
  </si>
  <si>
    <t>KADİR</t>
  </si>
  <si>
    <t>YAVUZ2</t>
  </si>
  <si>
    <t>HÜSEYİN CAHİT2</t>
  </si>
  <si>
    <t>MUSTAFA3</t>
  </si>
  <si>
    <t>HASAN3</t>
  </si>
  <si>
    <t>ÖZCAN3</t>
  </si>
  <si>
    <t>ÖZCAN4</t>
  </si>
  <si>
    <t>Sayfa Sayıları</t>
  </si>
  <si>
    <t>Kişi Sayısı</t>
  </si>
  <si>
    <t>Grup Sıralaması</t>
  </si>
  <si>
    <t>ABDULLAH2</t>
  </si>
  <si>
    <t>SıraNo</t>
  </si>
  <si>
    <t>Mehmet 3</t>
  </si>
  <si>
    <t>Ahmet3</t>
  </si>
  <si>
    <t>Yusuf 3</t>
  </si>
  <si>
    <t>Ali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</si>
</sst>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sz val="11"/>
      <color rgb="FF000000"/>
      <name val="Calibri"/>
      <family val="2"/>
      <charset val="16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1" fillId="0" borderId="1" xfId="0" applyFont="1" applyBorder="1" applyAlignment="1">
      <alignment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shrinkToFit="1"/>
    </xf>
    <xf numFmtId="14" fontId="0" fillId="2" borderId="3" xfId="0" applyNumberFormat="1" applyFill="1" applyBorder="1" applyAlignment="1" applyProtection="1">
      <alignment horizontal="center" vertical="center"/>
      <protection locked="0"/>
    </xf>
    <xf numFmtId="14" fontId="0" fillId="2" borderId="4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" borderId="1" xfId="0" applyFill="1" applyBorder="1" applyAlignment="1">
      <alignment horizontal="center" vertical="center"/>
    </xf>
    <xf numFmtId="0" fontId="1" fillId="0" borderId="1" xfId="0" applyNumberFormat="1" applyFont="1" applyBorder="1" applyAlignment="1">
      <alignment vertical="center"/>
    </xf>
    <xf numFmtId="0" fontId="0" fillId="0" borderId="1" xfId="0" applyNumberFormat="1" applyBorder="1"/>
    <xf numFmtId="0" fontId="0" fillId="0" borderId="0" xfId="0" applyNumberFormat="1"/>
    <xf numFmtId="0" fontId="0" fillId="0" borderId="7" xfId="0" applyBorder="1" applyProtection="1">
      <protection locked="0"/>
    </xf>
    <xf numFmtId="0" fontId="1" fillId="0" borderId="9" xfId="0" applyFont="1" applyBorder="1" applyAlignment="1">
      <alignment horizontal="center" vertical="center" wrapText="1"/>
    </xf>
    <xf numFmtId="0" fontId="0" fillId="0" borderId="10" xfId="0" applyBorder="1" applyProtection="1"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/>
    </xf>
    <xf numFmtId="0" fontId="0" fillId="0" borderId="2" xfId="0" applyNumberFormat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0" fontId="1" fillId="0" borderId="8" xfId="0" applyFont="1" applyBorder="1" applyAlignment="1">
      <alignment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vertical="center"/>
    </xf>
    <xf numFmtId="0" fontId="0" fillId="0" borderId="0" xfId="0" applyBorder="1" applyAlignment="1">
      <alignment horizontal="center" vertical="center" shrinkToFit="1"/>
    </xf>
    <xf numFmtId="0" fontId="0" fillId="0" borderId="0" xfId="0" applyBorder="1" applyAlignment="1" applyProtection="1">
      <alignment vertical="center" shrinkToFit="1"/>
      <protection locked="0"/>
    </xf>
    <xf numFmtId="0" fontId="0" fillId="0" borderId="0" xfId="0" applyBorder="1" applyAlignment="1">
      <alignment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 applyProtection="1">
      <alignment vertical="center"/>
      <protection locked="0"/>
    </xf>
    <xf numFmtId="0" fontId="0" fillId="0" borderId="0" xfId="0" applyBorder="1"/>
    <xf numFmtId="0" fontId="0" fillId="0" borderId="0" xfId="0" applyBorder="1" applyAlignment="1">
      <alignment vertical="center"/>
    </xf>
    <xf numFmtId="14" fontId="2" fillId="0" borderId="5" xfId="0" applyNumberFormat="1" applyFont="1" applyBorder="1" applyAlignment="1">
      <alignment horizontal="center" vertical="center"/>
    </xf>
    <xf numFmtId="14" fontId="2" fillId="0" borderId="0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Normal" xfId="0" builtinId="0"/>
  </cellStyles>
  <dxfs count="15"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657225</xdr:colOff>
          <xdr:row>1</xdr:row>
          <xdr:rowOff>180975</xdr:rowOff>
        </xdr:from>
        <xdr:to>
          <xdr:col>6</xdr:col>
          <xdr:colOff>9525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 Yap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666750</xdr:colOff>
          <xdr:row>2</xdr:row>
          <xdr:rowOff>0</xdr:rowOff>
        </xdr:from>
        <xdr:to>
          <xdr:col>11</xdr:col>
          <xdr:colOff>9525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 Yaz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8</xdr:col>
          <xdr:colOff>0</xdr:colOff>
          <xdr:row>1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Düzenle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o2" displayName="Tablo2" ref="D1:F124" totalsRowShown="0" headerRowDxfId="10" headerRowBorderDxfId="9" tableBorderDxfId="8" totalsRowBorderDxfId="7">
  <autoFilter ref="D1:F124"/>
  <sortState ref="D2:F124">
    <sortCondition descending="1" ref="E1:E124"/>
  </sortState>
  <tableColumns count="3">
    <tableColumn id="1" name="Adı Soyadı" dataDxfId="6"/>
    <tableColumn id="2" name="Günlük Sayfa Sayısı" dataDxfId="5"/>
    <tableColumn id="3" name="Grup Sıralaması" dataDxfId="4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Tablo1" displayName="Tablo1" ref="A1:C21" totalsRowShown="0" dataDxfId="3">
  <autoFilter ref="A1:C21"/>
  <tableColumns count="3">
    <tableColumn id="1" name="Kitap Adı" dataDxfId="2"/>
    <tableColumn id="2" name="İlk Sayfa" dataDxfId="1"/>
    <tableColumn id="3" name="Son Sayfa" dataDxfId="0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O102"/>
  <sheetViews>
    <sheetView zoomScaleNormal="100" workbookViewId="0">
      <selection activeCell="G7" sqref="G7"/>
    </sheetView>
  </sheetViews>
  <sheetFormatPr defaultRowHeight="15" x14ac:dyDescent="0.25"/>
  <cols>
    <col min="1" max="1" width="4.7109375" style="8" customWidth="1"/>
    <col min="2" max="2" width="27.7109375" customWidth="1"/>
    <col min="3" max="3" width="10.28515625" style="1" customWidth="1"/>
    <col min="4" max="4" width="33.42578125" customWidth="1"/>
    <col min="5" max="5" width="10.140625" bestFit="1" customWidth="1"/>
    <col min="6" max="6" width="11.7109375" customWidth="1"/>
    <col min="7" max="8" width="12.140625" customWidth="1"/>
    <col min="9" max="9" width="10.140625" hidden="1" customWidth="1"/>
    <col min="10" max="10" width="11.85546875" hidden="1" customWidth="1"/>
    <col min="11" max="11" width="8.28515625" style="1" hidden="1" customWidth="1"/>
    <col min="12" max="12" width="9.42578125" style="1" hidden="1" customWidth="1"/>
    <col min="13" max="13" width="12.42578125" style="1" hidden="1" customWidth="1"/>
    <col min="14" max="14" width="9.140625" style="1" hidden="1" customWidth="1"/>
    <col min="15" max="15" width="9.140625" hidden="1" customWidth="1"/>
    <col min="16" max="16" width="0" hidden="1" customWidth="1"/>
  </cols>
  <sheetData>
    <row r="1" spans="1:15" ht="18.75" customHeight="1" thickBot="1" x14ac:dyDescent="0.3">
      <c r="A1" s="41" t="str">
        <f>TEXT(F1,"GG.AA.YYYY")&amp;" - "&amp;TEXT(G1,"GG.AA.YYYY")&amp;" TARİHLERİ HAFTALIK KİTAP OKUMA PROGRAMI"</f>
        <v>20.12.2021 - 26.12.2021 TARİHLERİ HAFTALIK KİTAP OKUMA PROGRAMI</v>
      </c>
      <c r="B1" s="41"/>
      <c r="C1" s="41"/>
      <c r="D1" s="41"/>
      <c r="F1" s="13">
        <v>44550</v>
      </c>
      <c r="G1" s="14">
        <f>F1+6</f>
        <v>44556</v>
      </c>
      <c r="H1" s="11"/>
      <c r="I1" s="7"/>
    </row>
    <row r="2" spans="1:15" x14ac:dyDescent="0.25">
      <c r="A2" s="9" t="s">
        <v>18</v>
      </c>
      <c r="B2" s="10" t="s">
        <v>26</v>
      </c>
      <c r="C2" s="9" t="s">
        <v>23</v>
      </c>
      <c r="D2" s="10" t="s">
        <v>0</v>
      </c>
      <c r="J2" s="2" t="s">
        <v>24</v>
      </c>
      <c r="K2" s="3" t="s">
        <v>19</v>
      </c>
      <c r="L2" s="3" t="s">
        <v>20</v>
      </c>
      <c r="M2" s="3" t="s">
        <v>22</v>
      </c>
      <c r="N2" s="3" t="s">
        <v>21</v>
      </c>
      <c r="O2" s="3" t="s">
        <v>111</v>
      </c>
    </row>
    <row r="3" spans="1:15" x14ac:dyDescent="0.25">
      <c r="A3" s="37">
        <v>1</v>
      </c>
      <c r="B3" s="38" t="str">
        <f>Kitaplar!A2</f>
        <v>Sözler</v>
      </c>
      <c r="C3" s="37" t="str">
        <f>IF(J3&lt;&gt;"",K3&amp;" - "&amp;L3,"")</f>
        <v>5 - 145</v>
      </c>
      <c r="D3" s="39" t="str">
        <f>IF(J3&lt;&gt;"",IFERROR(VLOOKUP(J3,AdiSoyadi!$A$2:$E$108,4,0),""),"")</f>
        <v>MİRAÇ</v>
      </c>
      <c r="J3" t="str">
        <f>IF(M3="","","G."&amp;M3&amp;"N."&amp;O3)</f>
        <v>G.20N.1</v>
      </c>
      <c r="K3" s="1">
        <f>IFERROR(VLOOKUP(B3,Kitaplar!$A$2:$C$27,2,0),"")</f>
        <v>5</v>
      </c>
      <c r="L3" s="1">
        <f>IFERROR(IF((VLOOKUP(B3,Kitaplar!$A$2:$C$27,3,0))-K3&gt;N3,K3+N3,VLOOKUP(B3,Kitaplar!$A$2:$C$27,3,0)),"")</f>
        <v>145</v>
      </c>
      <c r="M3" s="1">
        <v>20</v>
      </c>
      <c r="N3" s="1">
        <f>IF(M3&lt;&gt;"",M3*7,"")</f>
        <v>140</v>
      </c>
      <c r="O3" s="1">
        <v>1</v>
      </c>
    </row>
    <row r="4" spans="1:15" x14ac:dyDescent="0.25">
      <c r="A4" s="37">
        <f>IF(B4&gt;"",A3+1,"")</f>
        <v>2</v>
      </c>
      <c r="B4" s="40" t="str">
        <f t="array" ref="B4">IF(J4&lt;&gt;"",(IF(K4&lt;&gt;"5",B3,INDEX(Kitaplar!$A$2:$A$20,MATCH(B3,Kitaplar!$A$2:$A$21,0)+1,1))),"")</f>
        <v>Sözler</v>
      </c>
      <c r="C4" s="37" t="str">
        <f t="shared" ref="C4:C67" si="0">IF(J4&lt;&gt;"",K4&amp;" - "&amp;L4,"")</f>
        <v>146 - 286</v>
      </c>
      <c r="D4" s="39" t="str">
        <f>IF(J4&lt;&gt;"",IFERROR(VLOOKUP(J4,AdiSoyadi!$A$2:$E$108,4,0),""),"")</f>
        <v>YÜCEL</v>
      </c>
      <c r="J4" t="str">
        <f t="shared" ref="J4:J67" si="1">IF(M4="","","G."&amp;M4&amp;"N."&amp;O4)</f>
        <v>G.20N.2</v>
      </c>
      <c r="K4" s="1">
        <f>IF(J4&lt;&gt;"",(IFERROR(IF(VLOOKUP(B3,Kitaplar!$A$2:$C$16,3,0)&gt;L3,L3+1,"5"),"")),"")</f>
        <v>146</v>
      </c>
      <c r="L4" s="1">
        <f>IFERROR(IF((VLOOKUP(B4,Kitaplar!$A$2:$C$27,3,0))-K4&gt;N4,K4+N4,VLOOKUP(B4,Kitaplar!$A$2:$C$27,3,0)),"")</f>
        <v>286</v>
      </c>
      <c r="M4" s="1">
        <v>20</v>
      </c>
      <c r="N4" s="1">
        <f t="shared" ref="N4:N67" si="2">IF(M4&lt;&gt;"",M4*7,"")</f>
        <v>140</v>
      </c>
      <c r="O4" s="1">
        <f t="shared" ref="O4:O67" si="3">IF(M4="","",IF(M3=M4,O3+1,1))</f>
        <v>2</v>
      </c>
    </row>
    <row r="5" spans="1:15" x14ac:dyDescent="0.25">
      <c r="A5" s="37">
        <f t="shared" ref="A5:A10" si="4">IF(B5&gt;"",A4+1,"")</f>
        <v>3</v>
      </c>
      <c r="B5" s="40" t="str">
        <f t="array" ref="B5">IF(J5&lt;&gt;"",(IF(K5&lt;&gt;"5",B4,INDEX(Kitaplar!$A$2:$A$20,MATCH(B4,Kitaplar!$A$2:$A$21,0)+1,1))),"")</f>
        <v>Sözler</v>
      </c>
      <c r="C5" s="37" t="str">
        <f t="shared" si="0"/>
        <v>287 - 427</v>
      </c>
      <c r="D5" s="39" t="str">
        <f>IF(J5&lt;&gt;"",IFERROR(VLOOKUP(J5,AdiSoyadi!$A$2:$E$108,4,0),""),"")</f>
        <v>KUBİLAY</v>
      </c>
      <c r="J5" t="str">
        <f t="shared" si="1"/>
        <v>G.20N.3</v>
      </c>
      <c r="K5" s="1">
        <f>IF(J5&lt;&gt;"",(IFERROR(IF(VLOOKUP(B4,Kitaplar!$A$2:$C$16,3,0)&gt;L4,L4+1,"5"),"")),"")</f>
        <v>287</v>
      </c>
      <c r="L5" s="1">
        <f>IFERROR(IF((VLOOKUP(B5,Kitaplar!$A$2:$C$27,3,0))-K5&gt;N5,K5+N5,VLOOKUP(B5,Kitaplar!$A$2:$C$27,3,0)),"")</f>
        <v>427</v>
      </c>
      <c r="M5" s="1">
        <v>20</v>
      </c>
      <c r="N5" s="1">
        <f t="shared" si="2"/>
        <v>140</v>
      </c>
      <c r="O5" s="1">
        <f t="shared" si="3"/>
        <v>3</v>
      </c>
    </row>
    <row r="6" spans="1:15" x14ac:dyDescent="0.25">
      <c r="A6" s="37">
        <f t="shared" si="4"/>
        <v>4</v>
      </c>
      <c r="B6" s="40" t="str">
        <f t="array" ref="B6">IF(J6&lt;&gt;"",(IF(K6&lt;&gt;"5",B5,INDEX(Kitaplar!$A$2:$A$20,MATCH(B5,Kitaplar!$A$2:$A$21,0)+1,1))),"")</f>
        <v>Sözler</v>
      </c>
      <c r="C6" s="37" t="str">
        <f t="shared" si="0"/>
        <v>428 - 568</v>
      </c>
      <c r="D6" s="39" t="str">
        <f>IF(J6&lt;&gt;"",IFERROR(VLOOKUP(J6,AdiSoyadi!$A$2:$E$108,4,0),""),"")</f>
        <v>HAYATİ</v>
      </c>
      <c r="J6" t="str">
        <f t="shared" si="1"/>
        <v>G.20N.4</v>
      </c>
      <c r="K6" s="1">
        <f>IF(J6&lt;&gt;"",(IFERROR(IF(VLOOKUP(B5,Kitaplar!$A$2:$C$16,3,0)&gt;L5,L5+1,"5"),"")),"")</f>
        <v>428</v>
      </c>
      <c r="L6" s="1">
        <f>IFERROR(IF((VLOOKUP(B6,Kitaplar!$A$2:$C$27,3,0))-K6&gt;N6,K6+N6,VLOOKUP(B6,Kitaplar!$A$2:$C$27,3,0)),"")</f>
        <v>568</v>
      </c>
      <c r="M6" s="1">
        <v>20</v>
      </c>
      <c r="N6" s="1">
        <f t="shared" si="2"/>
        <v>140</v>
      </c>
      <c r="O6" s="1">
        <f t="shared" si="3"/>
        <v>4</v>
      </c>
    </row>
    <row r="7" spans="1:15" x14ac:dyDescent="0.25">
      <c r="A7" s="37">
        <f t="shared" si="4"/>
        <v>5</v>
      </c>
      <c r="B7" s="40" t="str">
        <f t="array" ref="B7">IF(J7&lt;&gt;"",(IF(K7&lt;&gt;"5",B6,INDEX(Kitaplar!$A$2:$A$20,MATCH(B6,Kitaplar!$A$2:$A$21,0)+1,1))),"")</f>
        <v>Sözler</v>
      </c>
      <c r="C7" s="37" t="str">
        <f t="shared" si="0"/>
        <v>569 - 709</v>
      </c>
      <c r="D7" s="39" t="str">
        <f>IF(J7&lt;&gt;"",IFERROR(VLOOKUP(J7,AdiSoyadi!$A$2:$E$108,4,0),""),"")</f>
        <v>MEHMET</v>
      </c>
      <c r="J7" t="str">
        <f t="shared" si="1"/>
        <v>G.20N.5</v>
      </c>
      <c r="K7" s="1">
        <f>IF(J7&lt;&gt;"",(IFERROR(IF(VLOOKUP(B6,Kitaplar!$A$2:$C$16,3,0)&gt;L6,L6+1,"5"),"")),"")</f>
        <v>569</v>
      </c>
      <c r="L7" s="1">
        <f>IFERROR(IF((VLOOKUP(B7,Kitaplar!$A$2:$C$27,3,0))-K7&gt;N7,K7+N7,VLOOKUP(B7,Kitaplar!$A$2:$C$27,3,0)),"")</f>
        <v>709</v>
      </c>
      <c r="M7" s="1">
        <v>20</v>
      </c>
      <c r="N7" s="1">
        <f t="shared" si="2"/>
        <v>140</v>
      </c>
      <c r="O7" s="1">
        <f t="shared" si="3"/>
        <v>5</v>
      </c>
    </row>
    <row r="8" spans="1:15" x14ac:dyDescent="0.25">
      <c r="A8" s="37">
        <f t="shared" si="4"/>
        <v>6</v>
      </c>
      <c r="B8" s="40" t="str">
        <f t="array" ref="B8">IF(J8&lt;&gt;"",(IF(K8&lt;&gt;"5",B7,INDEX(Kitaplar!$A$2:$A$20,MATCH(B7,Kitaplar!$A$2:$A$21,0)+1,1))),"")</f>
        <v>Sözler</v>
      </c>
      <c r="C8" s="37" t="str">
        <f t="shared" si="0"/>
        <v>710 - 792</v>
      </c>
      <c r="D8" s="39" t="str">
        <f>IF(J8&lt;&gt;"",IFERROR(VLOOKUP(J8,AdiSoyadi!$A$2:$E$108,4,0),""),"")</f>
        <v>ABDURRAHMAN</v>
      </c>
      <c r="J8" t="str">
        <f t="shared" si="1"/>
        <v>G.20N.6</v>
      </c>
      <c r="K8" s="1">
        <f>IF(J8&lt;&gt;"",(IFERROR(IF(VLOOKUP(B7,Kitaplar!$A$2:$C$16,3,0)&gt;L7,L7+1,"5"),"")),"")</f>
        <v>710</v>
      </c>
      <c r="L8" s="1">
        <f>IFERROR(IF((VLOOKUP(B8,Kitaplar!$A$2:$C$27,3,0))-K8&gt;N8,K8+N8,VLOOKUP(B8,Kitaplar!$A$2:$C$27,3,0)),"")</f>
        <v>792</v>
      </c>
      <c r="M8" s="1">
        <v>20</v>
      </c>
      <c r="N8" s="1">
        <f t="shared" si="2"/>
        <v>140</v>
      </c>
      <c r="O8" s="1">
        <f t="shared" si="3"/>
        <v>6</v>
      </c>
    </row>
    <row r="9" spans="1:15" x14ac:dyDescent="0.25">
      <c r="A9" s="37">
        <f t="shared" si="4"/>
        <v>7</v>
      </c>
      <c r="B9" s="40" t="str">
        <f t="array" ref="B9">IF(J9&lt;&gt;"",(IF(K9&lt;&gt;"5",B8,INDEX(Kitaplar!$A$2:$A$20,MATCH(B8,Kitaplar!$A$2:$A$21,0)+1,1))),"")</f>
        <v>Şualar</v>
      </c>
      <c r="C9" s="37" t="str">
        <f t="shared" si="0"/>
        <v>5 - 145</v>
      </c>
      <c r="D9" s="39" t="str">
        <f>IF(J9&lt;&gt;"",IFERROR(VLOOKUP(J9,AdiSoyadi!$A$2:$E$108,4,0),""),"")</f>
        <v>SERDAL</v>
      </c>
      <c r="J9" t="str">
        <f t="shared" si="1"/>
        <v>G.20N.7</v>
      </c>
      <c r="K9" s="1" t="str">
        <f>IF(J9&lt;&gt;"",(IFERROR(IF(VLOOKUP(B8,Kitaplar!$A$2:$C$16,3,0)&gt;L8,L8+1,"5"),"")),"")</f>
        <v>5</v>
      </c>
      <c r="L9" s="1">
        <f>IFERROR(IF((VLOOKUP(B9,Kitaplar!$A$2:$C$27,3,0))-K9&gt;N9,K9+N9,VLOOKUP(B9,Kitaplar!$A$2:$C$27,3,0)),"")</f>
        <v>145</v>
      </c>
      <c r="M9" s="1">
        <v>20</v>
      </c>
      <c r="N9" s="1">
        <f t="shared" si="2"/>
        <v>140</v>
      </c>
      <c r="O9" s="1">
        <f t="shared" si="3"/>
        <v>7</v>
      </c>
    </row>
    <row r="10" spans="1:15" x14ac:dyDescent="0.25">
      <c r="A10" s="37">
        <f t="shared" si="4"/>
        <v>8</v>
      </c>
      <c r="B10" s="40" t="str">
        <f t="array" ref="B10">IF(J10&lt;&gt;"",(IF(K10&lt;&gt;"5",B9,INDEX(Kitaplar!$A$2:$A$20,MATCH(B9,Kitaplar!$A$2:$A$21,0)+1,1))),"")</f>
        <v>Şualar</v>
      </c>
      <c r="C10" s="37" t="str">
        <f t="shared" si="0"/>
        <v>146 - 286</v>
      </c>
      <c r="D10" s="39" t="str">
        <f>IF(J10&lt;&gt;"",IFERROR(VLOOKUP(J10,AdiSoyadi!$A$2:$E$108,4,0),""),"")</f>
        <v>ABDULLAH2</v>
      </c>
      <c r="J10" t="str">
        <f t="shared" si="1"/>
        <v>G.20N.8</v>
      </c>
      <c r="K10" s="1">
        <f>IF(J10&lt;&gt;"",(IFERROR(IF(VLOOKUP(B9,Kitaplar!$A$2:$C$16,3,0)&gt;L9,L9+1,"5"),"")),"")</f>
        <v>146</v>
      </c>
      <c r="L10" s="1">
        <f>IFERROR(IF((VLOOKUP(B10,Kitaplar!$A$2:$C$27,3,0))-K10&gt;N10,K10+N10,VLOOKUP(B10,Kitaplar!$A$2:$C$27,3,0)),"")</f>
        <v>286</v>
      </c>
      <c r="M10" s="1">
        <v>20</v>
      </c>
      <c r="N10" s="1">
        <f t="shared" si="2"/>
        <v>140</v>
      </c>
      <c r="O10" s="1">
        <f t="shared" si="3"/>
        <v>8</v>
      </c>
    </row>
    <row r="11" spans="1:15" x14ac:dyDescent="0.25">
      <c r="A11" s="37">
        <f t="shared" ref="A11:A37" si="5">IF(B11&gt;"",A10+1,"")</f>
        <v>9</v>
      </c>
      <c r="B11" s="40" t="str">
        <f t="array" ref="B11">IF(J11&lt;&gt;"",(IF(K11&lt;&gt;"5",B10,INDEX(Kitaplar!$A$2:$A$20,MATCH(B10,Kitaplar!$A$2:$A$21,0)+1,1))),"")</f>
        <v>Şualar</v>
      </c>
      <c r="C11" s="37" t="str">
        <f t="shared" si="0"/>
        <v>287 - 427</v>
      </c>
      <c r="D11" s="39" t="str">
        <f>IF(J11&lt;&gt;"",IFERROR(VLOOKUP(J11,AdiSoyadi!$A$2:$E$108,4,0),""),"")</f>
        <v>Mehmet 3</v>
      </c>
      <c r="J11" t="str">
        <f t="shared" si="1"/>
        <v>G.20N.9</v>
      </c>
      <c r="K11" s="1">
        <f>IF(J11&lt;&gt;"",(IFERROR(IF(VLOOKUP(B10,Kitaplar!$A$2:$C$16,3,0)&gt;L10,L10+1,"5"),"")),"")</f>
        <v>287</v>
      </c>
      <c r="L11" s="1">
        <f>IFERROR(IF((VLOOKUP(B11,Kitaplar!$A$2:$C$27,3,0))-K11&gt;N11,K11+N11,VLOOKUP(B11,Kitaplar!$A$2:$C$27,3,0)),"")</f>
        <v>427</v>
      </c>
      <c r="M11" s="1">
        <v>20</v>
      </c>
      <c r="N11" s="1">
        <f t="shared" si="2"/>
        <v>140</v>
      </c>
      <c r="O11" s="1">
        <f t="shared" si="3"/>
        <v>9</v>
      </c>
    </row>
    <row r="12" spans="1:15" x14ac:dyDescent="0.25">
      <c r="A12" s="37">
        <f t="shared" si="5"/>
        <v>10</v>
      </c>
      <c r="B12" s="40" t="str">
        <f t="array" ref="B12">IF(J12&lt;&gt;"",(IF(K12&lt;&gt;"5",B11,INDEX(Kitaplar!$A$2:$A$20,MATCH(B11,Kitaplar!$A$2:$A$21,0)+1,1))),"")</f>
        <v>Şualar</v>
      </c>
      <c r="C12" s="37" t="str">
        <f t="shared" si="0"/>
        <v>428 - 533</v>
      </c>
      <c r="D12" s="39" t="str">
        <f>IF(J12&lt;&gt;"",IFERROR(VLOOKUP(J12,AdiSoyadi!$A$2:$E$108,4,0),""),"")</f>
        <v>FATİH</v>
      </c>
      <c r="J12" t="str">
        <f t="shared" si="1"/>
        <v>G.15N.1</v>
      </c>
      <c r="K12" s="1">
        <f>IF(J12&lt;&gt;"",(IFERROR(IF(VLOOKUP(B11,Kitaplar!$A$2:$C$16,3,0)&gt;L11,L11+1,"5"),"")),"")</f>
        <v>428</v>
      </c>
      <c r="L12" s="1">
        <f>IFERROR(IF((VLOOKUP(B12,Kitaplar!$A$2:$C$27,3,0))-K12&gt;N12,K12+N12,VLOOKUP(B12,Kitaplar!$A$2:$C$27,3,0)),"")</f>
        <v>533</v>
      </c>
      <c r="M12" s="1">
        <v>15</v>
      </c>
      <c r="N12" s="1">
        <f t="shared" si="2"/>
        <v>105</v>
      </c>
      <c r="O12" s="1">
        <f t="shared" si="3"/>
        <v>1</v>
      </c>
    </row>
    <row r="13" spans="1:15" x14ac:dyDescent="0.25">
      <c r="A13" s="37">
        <f t="shared" si="5"/>
        <v>11</v>
      </c>
      <c r="B13" s="40" t="str">
        <f t="array" ref="B13">IF(J13&lt;&gt;"",(IF(K13&lt;&gt;"5",B12,INDEX(Kitaplar!$A$2:$A$20,MATCH(B12,Kitaplar!$A$2:$A$21,0)+1,1))),"")</f>
        <v>Şualar</v>
      </c>
      <c r="C13" s="37" t="str">
        <f t="shared" si="0"/>
        <v>534 - 639</v>
      </c>
      <c r="D13" s="39" t="str">
        <f>IF(J13&lt;&gt;"",IFERROR(VLOOKUP(J13,AdiSoyadi!$A$2:$E$108,4,0),""),"")</f>
        <v>ABDURLLAH</v>
      </c>
      <c r="J13" t="str">
        <f t="shared" si="1"/>
        <v>G.15N.2</v>
      </c>
      <c r="K13" s="1">
        <f>IF(J13&lt;&gt;"",(IFERROR(IF(VLOOKUP(B12,Kitaplar!$A$2:$C$16,3,0)&gt;L12,L12+1,"5"),"")),"")</f>
        <v>534</v>
      </c>
      <c r="L13" s="1">
        <f>IFERROR(IF((VLOOKUP(B13,Kitaplar!$A$2:$C$27,3,0))-K13&gt;N13,K13+N13,VLOOKUP(B13,Kitaplar!$A$2:$C$27,3,0)),"")</f>
        <v>639</v>
      </c>
      <c r="M13" s="1">
        <v>15</v>
      </c>
      <c r="N13" s="1">
        <f t="shared" si="2"/>
        <v>105</v>
      </c>
      <c r="O13" s="1">
        <f t="shared" si="3"/>
        <v>2</v>
      </c>
    </row>
    <row r="14" spans="1:15" x14ac:dyDescent="0.25">
      <c r="A14" s="37">
        <f t="shared" si="5"/>
        <v>12</v>
      </c>
      <c r="B14" s="40" t="str">
        <f t="array" ref="B14">IF(J14&lt;&gt;"",(IF(K14&lt;&gt;"5",B13,INDEX(Kitaplar!$A$2:$A$20,MATCH(B13,Kitaplar!$A$2:$A$21,0)+1,1))),"")</f>
        <v>Şualar</v>
      </c>
      <c r="C14" s="37" t="str">
        <f t="shared" si="0"/>
        <v>640 - 745</v>
      </c>
      <c r="D14" s="39" t="str">
        <f>IF(J14&lt;&gt;"",IFERROR(VLOOKUP(J14,AdiSoyadi!$A$2:$E$108,4,0),""),"")</f>
        <v>SERKAN</v>
      </c>
      <c r="J14" t="str">
        <f t="shared" si="1"/>
        <v>G.15N.3</v>
      </c>
      <c r="K14" s="1">
        <f>IF(J14&lt;&gt;"",(IFERROR(IF(VLOOKUP(B13,Kitaplar!$A$2:$C$16,3,0)&gt;L13,L13+1,"5"),"")),"")</f>
        <v>640</v>
      </c>
      <c r="L14" s="1">
        <f>IFERROR(IF((VLOOKUP(B14,Kitaplar!$A$2:$C$27,3,0))-K14&gt;N14,K14+N14,VLOOKUP(B14,Kitaplar!$A$2:$C$27,3,0)),"")</f>
        <v>745</v>
      </c>
      <c r="M14" s="1">
        <v>15</v>
      </c>
      <c r="N14" s="1">
        <f t="shared" si="2"/>
        <v>105</v>
      </c>
      <c r="O14" s="1">
        <f t="shared" si="3"/>
        <v>3</v>
      </c>
    </row>
    <row r="15" spans="1:15" x14ac:dyDescent="0.25">
      <c r="A15" s="37">
        <f t="shared" si="5"/>
        <v>13</v>
      </c>
      <c r="B15" s="40" t="str">
        <f t="array" ref="B15">IF(J15&lt;&gt;"",(IF(K15&lt;&gt;"5",B14,INDEX(Kitaplar!$A$2:$A$20,MATCH(B14,Kitaplar!$A$2:$A$21,0)+1,1))),"")</f>
        <v>Şualar</v>
      </c>
      <c r="C15" s="37" t="str">
        <f t="shared" si="0"/>
        <v>746 - 764</v>
      </c>
      <c r="D15" s="39" t="str">
        <f>IF(J15&lt;&gt;"",IFERROR(VLOOKUP(J15,AdiSoyadi!$A$2:$E$108,4,0),""),"")</f>
        <v>EMRE</v>
      </c>
      <c r="J15" t="str">
        <f t="shared" si="1"/>
        <v>G.15N.4</v>
      </c>
      <c r="K15" s="1">
        <f>IF(J15&lt;&gt;"",(IFERROR(IF(VLOOKUP(B14,Kitaplar!$A$2:$C$16,3,0)&gt;L14,L14+1,"5"),"")),"")</f>
        <v>746</v>
      </c>
      <c r="L15" s="1">
        <f>IFERROR(IF((VLOOKUP(B15,Kitaplar!$A$2:$C$27,3,0))-K15&gt;N15,K15+N15,VLOOKUP(B15,Kitaplar!$A$2:$C$27,3,0)),"")</f>
        <v>764</v>
      </c>
      <c r="M15" s="1">
        <v>15</v>
      </c>
      <c r="N15" s="1">
        <f t="shared" si="2"/>
        <v>105</v>
      </c>
      <c r="O15" s="1">
        <f t="shared" si="3"/>
        <v>4</v>
      </c>
    </row>
    <row r="16" spans="1:15" x14ac:dyDescent="0.25">
      <c r="A16" s="37">
        <f t="shared" si="5"/>
        <v>14</v>
      </c>
      <c r="B16" s="40" t="str">
        <f t="array" ref="B16">IF(J16&lt;&gt;"",(IF(K16&lt;&gt;"5",B15,INDEX(Kitaplar!$A$2:$A$20,MATCH(B15,Kitaplar!$A$2:$A$21,0)+1,1))),"")</f>
        <v>Mektubat</v>
      </c>
      <c r="C16" s="37" t="str">
        <f t="shared" si="0"/>
        <v>5 - 110</v>
      </c>
      <c r="D16" s="39" t="str">
        <f>IF(J16&lt;&gt;"",IFERROR(VLOOKUP(J16,AdiSoyadi!$A$2:$E$108,4,0),""),"")</f>
        <v>BAHATTİN</v>
      </c>
      <c r="J16" t="str">
        <f t="shared" si="1"/>
        <v>G.15N.5</v>
      </c>
      <c r="K16" s="1" t="str">
        <f>IF(J16&lt;&gt;"",(IFERROR(IF(VLOOKUP(B15,Kitaplar!$A$2:$C$16,3,0)&gt;L15,L15+1,"5"),"")),"")</f>
        <v>5</v>
      </c>
      <c r="L16" s="1">
        <f>IFERROR(IF((VLOOKUP(B16,Kitaplar!$A$2:$C$27,3,0))-K16&gt;N16,K16+N16,VLOOKUP(B16,Kitaplar!$A$2:$C$27,3,0)),"")</f>
        <v>110</v>
      </c>
      <c r="M16" s="1">
        <v>15</v>
      </c>
      <c r="N16" s="1">
        <f t="shared" si="2"/>
        <v>105</v>
      </c>
      <c r="O16" s="1">
        <f t="shared" si="3"/>
        <v>5</v>
      </c>
    </row>
    <row r="17" spans="1:15" x14ac:dyDescent="0.25">
      <c r="A17" s="37">
        <f t="shared" si="5"/>
        <v>15</v>
      </c>
      <c r="B17" s="40" t="str">
        <f t="array" ref="B17">IF(J17&lt;&gt;"",(IF(K17&lt;&gt;"5",B16,INDEX(Kitaplar!$A$2:$A$20,MATCH(B16,Kitaplar!$A$2:$A$21,0)+1,1))),"")</f>
        <v>Mektubat</v>
      </c>
      <c r="C17" s="37" t="str">
        <f t="shared" si="0"/>
        <v>111 - 181</v>
      </c>
      <c r="D17" s="39" t="str">
        <f>IF(J17&lt;&gt;"",IFERROR(VLOOKUP(J17,AdiSoyadi!$A$2:$E$108,4,0),""),"")</f>
        <v>Ahmet3</v>
      </c>
      <c r="J17" t="str">
        <f t="shared" si="1"/>
        <v>G.10N.1</v>
      </c>
      <c r="K17" s="1">
        <f>IF(J17&lt;&gt;"",(IFERROR(IF(VLOOKUP(B16,Kitaplar!$A$2:$C$16,3,0)&gt;L16,L16+1,"5"),"")),"")</f>
        <v>111</v>
      </c>
      <c r="L17" s="1">
        <f>IFERROR(IF((VLOOKUP(B17,Kitaplar!$A$2:$C$27,3,0))-K17&gt;N17,K17+N17,VLOOKUP(B17,Kitaplar!$A$2:$C$27,3,0)),"")</f>
        <v>181</v>
      </c>
      <c r="M17" s="1">
        <v>10</v>
      </c>
      <c r="N17" s="1">
        <f t="shared" si="2"/>
        <v>70</v>
      </c>
      <c r="O17" s="1">
        <f t="shared" si="3"/>
        <v>1</v>
      </c>
    </row>
    <row r="18" spans="1:15" x14ac:dyDescent="0.25">
      <c r="A18" s="37">
        <f t="shared" si="5"/>
        <v>16</v>
      </c>
      <c r="B18" s="40" t="str">
        <f t="array" ref="B18">IF(J18&lt;&gt;"",(IF(K18&lt;&gt;"5",B17,INDEX(Kitaplar!$A$2:$A$20,MATCH(B17,Kitaplar!$A$2:$A$21,0)+1,1))),"")</f>
        <v>Mektubat</v>
      </c>
      <c r="C18" s="37" t="str">
        <f t="shared" si="0"/>
        <v>182 - 252</v>
      </c>
      <c r="D18" s="39" t="str">
        <f>IF(J18&lt;&gt;"",IFERROR(VLOOKUP(J18,AdiSoyadi!$A$2:$E$108,4,0),""),"")</f>
        <v>BÜNYAMİN</v>
      </c>
      <c r="J18" t="str">
        <f t="shared" si="1"/>
        <v>G.10N.2</v>
      </c>
      <c r="K18" s="1">
        <f>IF(J18&lt;&gt;"",(IFERROR(IF(VLOOKUP(B17,Kitaplar!$A$2:$C$16,3,0)&gt;L17,L17+1,"5"),"")),"")</f>
        <v>182</v>
      </c>
      <c r="L18" s="1">
        <f>IFERROR(IF((VLOOKUP(B18,Kitaplar!$A$2:$C$27,3,0))-K18&gt;N18,K18+N18,VLOOKUP(B18,Kitaplar!$A$2:$C$27,3,0)),"")</f>
        <v>252</v>
      </c>
      <c r="M18" s="1">
        <v>10</v>
      </c>
      <c r="N18" s="1">
        <f t="shared" si="2"/>
        <v>70</v>
      </c>
      <c r="O18" s="1">
        <f t="shared" si="3"/>
        <v>2</v>
      </c>
    </row>
    <row r="19" spans="1:15" x14ac:dyDescent="0.25">
      <c r="A19" s="37">
        <f t="shared" si="5"/>
        <v>17</v>
      </c>
      <c r="B19" s="40" t="str">
        <f t="array" ref="B19">IF(J19&lt;&gt;"",(IF(K19&lt;&gt;"5",B18,INDEX(Kitaplar!$A$2:$A$20,MATCH(B18,Kitaplar!$A$2:$A$21,0)+1,1))),"")</f>
        <v>Mektubat</v>
      </c>
      <c r="C19" s="37" t="str">
        <f t="shared" si="0"/>
        <v>253 - 323</v>
      </c>
      <c r="D19" s="39" t="str">
        <f>IF(J19&lt;&gt;"",IFERROR(VLOOKUP(J19,AdiSoyadi!$A$2:$E$108,4,0),""),"")</f>
        <v>Yusuf 3</v>
      </c>
      <c r="J19" t="str">
        <f t="shared" si="1"/>
        <v>G.10N.3</v>
      </c>
      <c r="K19" s="1">
        <f>IF(J19&lt;&gt;"",(IFERROR(IF(VLOOKUP(B18,Kitaplar!$A$2:$C$16,3,0)&gt;L18,L18+1,"5"),"")),"")</f>
        <v>253</v>
      </c>
      <c r="L19" s="1">
        <f>IFERROR(IF((VLOOKUP(B19,Kitaplar!$A$2:$C$27,3,0))-K19&gt;N19,K19+N19,VLOOKUP(B19,Kitaplar!$A$2:$C$27,3,0)),"")</f>
        <v>323</v>
      </c>
      <c r="M19" s="1">
        <v>10</v>
      </c>
      <c r="N19" s="1">
        <f t="shared" si="2"/>
        <v>70</v>
      </c>
      <c r="O19" s="1">
        <f t="shared" si="3"/>
        <v>3</v>
      </c>
    </row>
    <row r="20" spans="1:15" x14ac:dyDescent="0.25">
      <c r="A20" s="37">
        <f t="shared" si="5"/>
        <v>18</v>
      </c>
      <c r="B20" s="40" t="str">
        <f t="array" ref="B20">IF(J20&lt;&gt;"",(IF(K20&lt;&gt;"5",B19,INDEX(Kitaplar!$A$2:$A$20,MATCH(B19,Kitaplar!$A$2:$A$21,0)+1,1))),"")</f>
        <v>Mektubat</v>
      </c>
      <c r="C20" s="37" t="str">
        <f t="shared" si="0"/>
        <v>324 - 394</v>
      </c>
      <c r="D20" s="39" t="str">
        <f>IF(J20&lt;&gt;"",IFERROR(VLOOKUP(J20,AdiSoyadi!$A$2:$E$108,4,0),""),"")</f>
        <v>ÖZGÜR</v>
      </c>
      <c r="J20" t="str">
        <f t="shared" si="1"/>
        <v>G.10N.4</v>
      </c>
      <c r="K20" s="1">
        <f>IF(J20&lt;&gt;"",(IFERROR(IF(VLOOKUP(B19,Kitaplar!$A$2:$C$16,3,0)&gt;L19,L19+1,"5"),"")),"")</f>
        <v>324</v>
      </c>
      <c r="L20" s="1">
        <f>IFERROR(IF((VLOOKUP(B20,Kitaplar!$A$2:$C$27,3,0))-K20&gt;N20,K20+N20,VLOOKUP(B20,Kitaplar!$A$2:$C$27,3,0)),"")</f>
        <v>394</v>
      </c>
      <c r="M20" s="1">
        <v>10</v>
      </c>
      <c r="N20" s="1">
        <f t="shared" si="2"/>
        <v>70</v>
      </c>
      <c r="O20" s="1">
        <f t="shared" si="3"/>
        <v>4</v>
      </c>
    </row>
    <row r="21" spans="1:15" x14ac:dyDescent="0.25">
      <c r="A21" s="37">
        <f t="shared" si="5"/>
        <v>19</v>
      </c>
      <c r="B21" s="40" t="str">
        <f t="array" ref="B21">IF(J21&lt;&gt;"",(IF(K21&lt;&gt;"5",B20,INDEX(Kitaplar!$A$2:$A$20,MATCH(B20,Kitaplar!$A$2:$A$21,0)+1,1))),"")</f>
        <v>Mektubat</v>
      </c>
      <c r="C21" s="37" t="str">
        <f t="shared" si="0"/>
        <v>395 - 465</v>
      </c>
      <c r="D21" s="39" t="str">
        <f>IF(J21&lt;&gt;"",IFERROR(VLOOKUP(J21,AdiSoyadi!$A$2:$E$108,4,0),""),"")</f>
        <v>FERDİ</v>
      </c>
      <c r="J21" t="str">
        <f t="shared" si="1"/>
        <v>G.10N.5</v>
      </c>
      <c r="K21" s="1">
        <f>IF(J21&lt;&gt;"",(IFERROR(IF(VLOOKUP(B20,Kitaplar!$A$2:$C$16,3,0)&gt;L20,L20+1,"5"),"")),"")</f>
        <v>395</v>
      </c>
      <c r="L21" s="1">
        <f>IFERROR(IF((VLOOKUP(B21,Kitaplar!$A$2:$C$27,3,0))-K21&gt;N21,K21+N21,VLOOKUP(B21,Kitaplar!$A$2:$C$27,3,0)),"")</f>
        <v>465</v>
      </c>
      <c r="M21" s="1">
        <v>10</v>
      </c>
      <c r="N21" s="1">
        <f t="shared" si="2"/>
        <v>70</v>
      </c>
      <c r="O21" s="1">
        <f t="shared" si="3"/>
        <v>5</v>
      </c>
    </row>
    <row r="22" spans="1:15" x14ac:dyDescent="0.25">
      <c r="A22" s="37">
        <f t="shared" si="5"/>
        <v>20</v>
      </c>
      <c r="B22" s="40" t="str">
        <f t="array" ref="B22">IF(J22&lt;&gt;"",(IF(K22&lt;&gt;"5",B21,INDEX(Kitaplar!$A$2:$A$20,MATCH(B21,Kitaplar!$A$2:$A$21,0)+1,1))),"")</f>
        <v>Mektubat</v>
      </c>
      <c r="C22" s="37" t="str">
        <f t="shared" si="0"/>
        <v>466 - 524</v>
      </c>
      <c r="D22" s="39" t="str">
        <f>IF(J22&lt;&gt;"",IFERROR(VLOOKUP(J22,AdiSoyadi!$A$2:$E$108,4,0),""),"")</f>
        <v>ERDAL</v>
      </c>
      <c r="J22" t="str">
        <f t="shared" si="1"/>
        <v>G.10N.6</v>
      </c>
      <c r="K22" s="1">
        <f>IF(J22&lt;&gt;"",(IFERROR(IF(VLOOKUP(B21,Kitaplar!$A$2:$C$16,3,0)&gt;L21,L21+1,"5"),"")),"")</f>
        <v>466</v>
      </c>
      <c r="L22" s="1">
        <f>IFERROR(IF((VLOOKUP(B22,Kitaplar!$A$2:$C$27,3,0))-K22&gt;N22,K22+N22,VLOOKUP(B22,Kitaplar!$A$2:$C$27,3,0)),"")</f>
        <v>524</v>
      </c>
      <c r="M22" s="1">
        <v>10</v>
      </c>
      <c r="N22" s="1">
        <f t="shared" si="2"/>
        <v>70</v>
      </c>
      <c r="O22" s="1">
        <f t="shared" si="3"/>
        <v>6</v>
      </c>
    </row>
    <row r="23" spans="1:15" x14ac:dyDescent="0.25">
      <c r="A23" s="37">
        <f t="shared" si="5"/>
        <v>21</v>
      </c>
      <c r="B23" s="40" t="str">
        <f t="array" ref="B23">IF(J23&lt;&gt;"",(IF(K23&lt;&gt;"5",B22,INDEX(Kitaplar!$A$2:$A$20,MATCH(B22,Kitaplar!$A$2:$A$21,0)+1,1))),"")</f>
        <v>Lem'alar</v>
      </c>
      <c r="C23" s="37" t="str">
        <f t="shared" si="0"/>
        <v>5 - 75</v>
      </c>
      <c r="D23" s="39" t="str">
        <f>IF(J23&lt;&gt;"",IFERROR(VLOOKUP(J23,AdiSoyadi!$A$2:$E$108,4,0),""),"")</f>
        <v>İLHAN</v>
      </c>
      <c r="J23" t="str">
        <f t="shared" si="1"/>
        <v>G.10N.7</v>
      </c>
      <c r="K23" s="1" t="str">
        <f>IF(J23&lt;&gt;"",(IFERROR(IF(VLOOKUP(B22,Kitaplar!$A$2:$C$16,3,0)&gt;L22,L22+1,"5"),"")),"")</f>
        <v>5</v>
      </c>
      <c r="L23" s="1">
        <f>IFERROR(IF((VLOOKUP(B23,Kitaplar!$A$2:$C$27,3,0))-K23&gt;N23,K23+N23,VLOOKUP(B23,Kitaplar!$A$2:$C$27,3,0)),"")</f>
        <v>75</v>
      </c>
      <c r="M23" s="1">
        <v>10</v>
      </c>
      <c r="N23" s="1">
        <f t="shared" si="2"/>
        <v>70</v>
      </c>
      <c r="O23" s="1">
        <f t="shared" si="3"/>
        <v>7</v>
      </c>
    </row>
    <row r="24" spans="1:15" x14ac:dyDescent="0.25">
      <c r="A24" s="37">
        <f t="shared" si="5"/>
        <v>22</v>
      </c>
      <c r="B24" s="40" t="str">
        <f t="array" ref="B24">IF(J24&lt;&gt;"",(IF(K24&lt;&gt;"5",B23,INDEX(Kitaplar!$A$2:$A$20,MATCH(B23,Kitaplar!$A$2:$A$21,0)+1,1))),"")</f>
        <v>Lem'alar</v>
      </c>
      <c r="C24" s="37" t="str">
        <f t="shared" si="0"/>
        <v>76 - 146</v>
      </c>
      <c r="D24" s="39" t="str">
        <f>IF(J24&lt;&gt;"",IFERROR(VLOOKUP(J24,AdiSoyadi!$A$2:$E$108,4,0),""),"")</f>
        <v>SERDAR</v>
      </c>
      <c r="J24" t="str">
        <f t="shared" si="1"/>
        <v>G.10N.8</v>
      </c>
      <c r="K24" s="1">
        <f>IF(J24&lt;&gt;"",(IFERROR(IF(VLOOKUP(B23,Kitaplar!$A$2:$C$16,3,0)&gt;L23,L23+1,"5"),"")),"")</f>
        <v>76</v>
      </c>
      <c r="L24" s="1">
        <f>IFERROR(IF((VLOOKUP(B24,Kitaplar!$A$2:$C$27,3,0))-K24&gt;N24,K24+N24,VLOOKUP(B24,Kitaplar!$A$2:$C$27,3,0)),"")</f>
        <v>146</v>
      </c>
      <c r="M24" s="1">
        <v>10</v>
      </c>
      <c r="N24" s="1">
        <f t="shared" si="2"/>
        <v>70</v>
      </c>
      <c r="O24" s="1">
        <f t="shared" si="3"/>
        <v>8</v>
      </c>
    </row>
    <row r="25" spans="1:15" x14ac:dyDescent="0.25">
      <c r="A25" s="37">
        <f t="shared" si="5"/>
        <v>23</v>
      </c>
      <c r="B25" s="40" t="str">
        <f t="array" ref="B25">IF(J25&lt;&gt;"",(IF(K25&lt;&gt;"5",B24,INDEX(Kitaplar!$A$2:$A$20,MATCH(B24,Kitaplar!$A$2:$A$21,0)+1,1))),"")</f>
        <v>Lem'alar</v>
      </c>
      <c r="C25" s="37" t="str">
        <f t="shared" si="0"/>
        <v>147 - 217</v>
      </c>
      <c r="D25" s="39" t="str">
        <f>IF(J25&lt;&gt;"",IFERROR(VLOOKUP(J25,AdiSoyadi!$A$2:$E$108,4,0),""),"")</f>
        <v>MEHMET ALİ</v>
      </c>
      <c r="J25" t="str">
        <f t="shared" si="1"/>
        <v>G.10N.9</v>
      </c>
      <c r="K25" s="1">
        <f>IF(J25&lt;&gt;"",(IFERROR(IF(VLOOKUP(B24,Kitaplar!$A$2:$C$16,3,0)&gt;L24,L24+1,"5"),"")),"")</f>
        <v>147</v>
      </c>
      <c r="L25" s="1">
        <f>IFERROR(IF((VLOOKUP(B25,Kitaplar!$A$2:$C$27,3,0))-K25&gt;N25,K25+N25,VLOOKUP(B25,Kitaplar!$A$2:$C$27,3,0)),"")</f>
        <v>217</v>
      </c>
      <c r="M25" s="1">
        <v>10</v>
      </c>
      <c r="N25" s="1">
        <f t="shared" si="2"/>
        <v>70</v>
      </c>
      <c r="O25" s="1">
        <f t="shared" si="3"/>
        <v>9</v>
      </c>
    </row>
    <row r="26" spans="1:15" x14ac:dyDescent="0.25">
      <c r="A26" s="37">
        <f t="shared" si="5"/>
        <v>24</v>
      </c>
      <c r="B26" s="40" t="str">
        <f t="array" ref="B26">IF(J26&lt;&gt;"",(IF(K26&lt;&gt;"5",B25,INDEX(Kitaplar!$A$2:$A$20,MATCH(B25,Kitaplar!$A$2:$A$21,0)+1,1))),"")</f>
        <v>Lem'alar</v>
      </c>
      <c r="C26" s="37" t="str">
        <f t="shared" si="0"/>
        <v>218 - 288</v>
      </c>
      <c r="D26" s="39" t="str">
        <f>IF(J26&lt;&gt;"",IFERROR(VLOOKUP(J26,AdiSoyadi!$A$2:$E$108,4,0),""),"")</f>
        <v>SEMİH</v>
      </c>
      <c r="J26" t="str">
        <f t="shared" si="1"/>
        <v>G.10N.10</v>
      </c>
      <c r="K26" s="1">
        <f>IF(J26&lt;&gt;"",(IFERROR(IF(VLOOKUP(B25,Kitaplar!$A$2:$C$16,3,0)&gt;L25,L25+1,"5"),"")),"")</f>
        <v>218</v>
      </c>
      <c r="L26" s="1">
        <f>IFERROR(IF((VLOOKUP(B26,Kitaplar!$A$2:$C$27,3,0))-K26&gt;N26,K26+N26,VLOOKUP(B26,Kitaplar!$A$2:$C$27,3,0)),"")</f>
        <v>288</v>
      </c>
      <c r="M26" s="1">
        <v>10</v>
      </c>
      <c r="N26" s="1">
        <f t="shared" si="2"/>
        <v>70</v>
      </c>
      <c r="O26" s="1">
        <f t="shared" si="3"/>
        <v>10</v>
      </c>
    </row>
    <row r="27" spans="1:15" x14ac:dyDescent="0.25">
      <c r="A27" s="37">
        <f t="shared" si="5"/>
        <v>25</v>
      </c>
      <c r="B27" s="40" t="str">
        <f t="array" ref="B27">IF(J27&lt;&gt;"",(IF(K27&lt;&gt;"5",B26,INDEX(Kitaplar!$A$2:$A$20,MATCH(B26,Kitaplar!$A$2:$A$21,0)+1,1))),"")</f>
        <v>Lem'alar</v>
      </c>
      <c r="C27" s="37" t="str">
        <f t="shared" si="0"/>
        <v>289 - 359</v>
      </c>
      <c r="D27" s="39" t="str">
        <f>IF(J27&lt;&gt;"",IFERROR(VLOOKUP(J27,AdiSoyadi!$A$2:$E$108,4,0),""),"")</f>
        <v>ERGÜN</v>
      </c>
      <c r="J27" t="str">
        <f t="shared" si="1"/>
        <v>G.10N.11</v>
      </c>
      <c r="K27" s="1">
        <f>IF(J27&lt;&gt;"",(IFERROR(IF(VLOOKUP(B26,Kitaplar!$A$2:$C$16,3,0)&gt;L26,L26+1,"5"),"")),"")</f>
        <v>289</v>
      </c>
      <c r="L27" s="1">
        <f>IFERROR(IF((VLOOKUP(B27,Kitaplar!$A$2:$C$27,3,0))-K27&gt;N27,K27+N27,VLOOKUP(B27,Kitaplar!$A$2:$C$27,3,0)),"")</f>
        <v>359</v>
      </c>
      <c r="M27" s="1">
        <v>10</v>
      </c>
      <c r="N27" s="1">
        <f t="shared" si="2"/>
        <v>70</v>
      </c>
      <c r="O27" s="1">
        <f t="shared" si="3"/>
        <v>11</v>
      </c>
    </row>
    <row r="28" spans="1:15" x14ac:dyDescent="0.25">
      <c r="A28" s="37">
        <f t="shared" si="5"/>
        <v>26</v>
      </c>
      <c r="B28" s="40" t="str">
        <f t="array" ref="B28">IF(J28&lt;&gt;"",(IF(K28&lt;&gt;"5",B27,INDEX(Kitaplar!$A$2:$A$20,MATCH(B27,Kitaplar!$A$2:$A$21,0)+1,1))),"")</f>
        <v>Lem'alar</v>
      </c>
      <c r="C28" s="37" t="str">
        <f t="shared" si="0"/>
        <v>360 - 430</v>
      </c>
      <c r="D28" s="39" t="str">
        <f>IF(J28&lt;&gt;"",IFERROR(VLOOKUP(J28,AdiSoyadi!$A$2:$E$108,4,0),""),"")</f>
        <v>Ali</v>
      </c>
      <c r="J28" t="str">
        <f t="shared" si="1"/>
        <v>G.10N.12</v>
      </c>
      <c r="K28" s="1">
        <f>IF(J28&lt;&gt;"",(IFERROR(IF(VLOOKUP(B27,Kitaplar!$A$2:$C$16,3,0)&gt;L27,L27+1,"5"),"")),"")</f>
        <v>360</v>
      </c>
      <c r="L28" s="1">
        <f>IFERROR(IF((VLOOKUP(B28,Kitaplar!$A$2:$C$27,3,0))-K28&gt;N28,K28+N28,VLOOKUP(B28,Kitaplar!$A$2:$C$27,3,0)),"")</f>
        <v>430</v>
      </c>
      <c r="M28" s="1">
        <v>10</v>
      </c>
      <c r="N28" s="1">
        <f t="shared" si="2"/>
        <v>70</v>
      </c>
      <c r="O28" s="1">
        <f t="shared" si="3"/>
        <v>12</v>
      </c>
    </row>
    <row r="29" spans="1:15" x14ac:dyDescent="0.25">
      <c r="A29" s="37">
        <f t="shared" si="5"/>
        <v>27</v>
      </c>
      <c r="B29" s="40" t="str">
        <f t="array" ref="B29">IF(J29&lt;&gt;"",(IF(K29&lt;&gt;"5",B28,INDEX(Kitaplar!$A$2:$A$20,MATCH(B28,Kitaplar!$A$2:$A$21,0)+1,1))),"")</f>
        <v>Lem'alar</v>
      </c>
      <c r="C29" s="37" t="str">
        <f t="shared" si="0"/>
        <v>431 - 450</v>
      </c>
      <c r="D29" s="39" t="str">
        <f>IF(J29&lt;&gt;"",IFERROR(VLOOKUP(J29,AdiSoyadi!$A$2:$E$108,4,0),""),"")</f>
        <v>MEHMET</v>
      </c>
      <c r="J29" t="str">
        <f t="shared" si="1"/>
        <v>G.10N.13</v>
      </c>
      <c r="K29" s="1">
        <f>IF(J29&lt;&gt;"",(IFERROR(IF(VLOOKUP(B28,Kitaplar!$A$2:$C$16,3,0)&gt;L28,L28+1,"5"),"")),"")</f>
        <v>431</v>
      </c>
      <c r="L29" s="1">
        <f>IFERROR(IF((VLOOKUP(B29,Kitaplar!$A$2:$C$27,3,0))-K29&gt;N29,K29+N29,VLOOKUP(B29,Kitaplar!$A$2:$C$27,3,0)),"")</f>
        <v>450</v>
      </c>
      <c r="M29" s="1">
        <v>10</v>
      </c>
      <c r="N29" s="1">
        <f t="shared" si="2"/>
        <v>70</v>
      </c>
      <c r="O29" s="1">
        <f t="shared" si="3"/>
        <v>13</v>
      </c>
    </row>
    <row r="30" spans="1:15" x14ac:dyDescent="0.25">
      <c r="A30" s="37">
        <f t="shared" si="5"/>
        <v>28</v>
      </c>
      <c r="B30" s="40" t="str">
        <f t="array" ref="B30">IF(J30&lt;&gt;"",(IF(K30&lt;&gt;"5",B29,INDEX(Kitaplar!$A$2:$A$20,MATCH(B29,Kitaplar!$A$2:$A$21,0)+1,1))),"")</f>
        <v>Mesnevi Nuriye</v>
      </c>
      <c r="C30" s="37" t="str">
        <f t="shared" si="0"/>
        <v>5 - 75</v>
      </c>
      <c r="D30" s="39" t="str">
        <f>IF(J30&lt;&gt;"",IFERROR(VLOOKUP(J30,AdiSoyadi!$A$2:$E$108,4,0),""),"")</f>
        <v>HÜSEYİN</v>
      </c>
      <c r="J30" t="str">
        <f t="shared" si="1"/>
        <v>G.10N.14</v>
      </c>
      <c r="K30" s="1" t="str">
        <f>IF(J30&lt;&gt;"",(IFERROR(IF(VLOOKUP(B29,Kitaplar!$A$2:$C$16,3,0)&gt;L29,L29+1,"5"),"")),"")</f>
        <v>5</v>
      </c>
      <c r="L30" s="1">
        <f>IFERROR(IF((VLOOKUP(B30,Kitaplar!$A$2:$C$27,3,0))-K30&gt;N30,K30+N30,VLOOKUP(B30,Kitaplar!$A$2:$C$27,3,0)),"")</f>
        <v>75</v>
      </c>
      <c r="M30" s="1">
        <v>10</v>
      </c>
      <c r="N30" s="1">
        <f t="shared" si="2"/>
        <v>70</v>
      </c>
      <c r="O30" s="1">
        <f t="shared" si="3"/>
        <v>14</v>
      </c>
    </row>
    <row r="31" spans="1:15" x14ac:dyDescent="0.25">
      <c r="A31" s="37">
        <f t="shared" si="5"/>
        <v>29</v>
      </c>
      <c r="B31" s="40" t="str">
        <f t="array" ref="B31">IF(J31&lt;&gt;"",(IF(K31&lt;&gt;"5",B30,INDEX(Kitaplar!$A$2:$A$20,MATCH(B30,Kitaplar!$A$2:$A$21,0)+1,1))),"")</f>
        <v>Mesnevi Nuriye</v>
      </c>
      <c r="C31" s="37" t="str">
        <f t="shared" si="0"/>
        <v>76 - 146</v>
      </c>
      <c r="D31" s="39" t="str">
        <f>IF(J31&lt;&gt;"",IFERROR(VLOOKUP(J31,AdiSoyadi!$A$2:$E$108,4,0),""),"")</f>
        <v>BARIŞ</v>
      </c>
      <c r="J31" t="str">
        <f t="shared" si="1"/>
        <v>G.10N.15</v>
      </c>
      <c r="K31" s="1">
        <f>IF(J31&lt;&gt;"",(IFERROR(IF(VLOOKUP(B30,Kitaplar!$A$2:$C$16,3,0)&gt;L30,L30+1,"5"),"")),"")</f>
        <v>76</v>
      </c>
      <c r="L31" s="1">
        <f>IFERROR(IF((VLOOKUP(B31,Kitaplar!$A$2:$C$27,3,0))-K31&gt;N31,K31+N31,VLOOKUP(B31,Kitaplar!$A$2:$C$27,3,0)),"")</f>
        <v>146</v>
      </c>
      <c r="M31" s="1">
        <v>10</v>
      </c>
      <c r="N31" s="1">
        <f t="shared" si="2"/>
        <v>70</v>
      </c>
      <c r="O31" s="1">
        <f t="shared" si="3"/>
        <v>15</v>
      </c>
    </row>
    <row r="32" spans="1:15" x14ac:dyDescent="0.25">
      <c r="A32" s="37">
        <f t="shared" si="5"/>
        <v>30</v>
      </c>
      <c r="B32" s="40" t="str">
        <f t="array" ref="B32">IF(J32&lt;&gt;"",(IF(K32&lt;&gt;"5",B31,INDEX(Kitaplar!$A$2:$A$20,MATCH(B31,Kitaplar!$A$2:$A$21,0)+1,1))),"")</f>
        <v>Mesnevi Nuriye</v>
      </c>
      <c r="C32" s="37" t="str">
        <f t="shared" si="0"/>
        <v>147 - 217</v>
      </c>
      <c r="D32" s="39" t="str">
        <f>IF(J32&lt;&gt;"",IFERROR(VLOOKUP(J32,AdiSoyadi!$A$2:$E$108,4,0),""),"")</f>
        <v>KADİR</v>
      </c>
      <c r="J32" t="str">
        <f t="shared" si="1"/>
        <v>G.10N.16</v>
      </c>
      <c r="K32" s="1">
        <f>IF(J32&lt;&gt;"",(IFERROR(IF(VLOOKUP(B31,Kitaplar!$A$2:$C$16,3,0)&gt;L31,L31+1,"5"),"")),"")</f>
        <v>147</v>
      </c>
      <c r="L32" s="1">
        <f>IFERROR(IF((VLOOKUP(B32,Kitaplar!$A$2:$C$27,3,0))-K32&gt;N32,K32+N32,VLOOKUP(B32,Kitaplar!$A$2:$C$27,3,0)),"")</f>
        <v>217</v>
      </c>
      <c r="M32" s="1">
        <v>10</v>
      </c>
      <c r="N32" s="1">
        <f t="shared" si="2"/>
        <v>70</v>
      </c>
      <c r="O32" s="1">
        <f t="shared" si="3"/>
        <v>16</v>
      </c>
    </row>
    <row r="33" spans="1:15" x14ac:dyDescent="0.25">
      <c r="A33" s="37">
        <f t="shared" si="5"/>
        <v>31</v>
      </c>
      <c r="B33" s="40" t="str">
        <f t="array" ref="B33">IF(J33&lt;&gt;"",(IF(K33&lt;&gt;"5",B32,INDEX(Kitaplar!$A$2:$A$20,MATCH(B32,Kitaplar!$A$2:$A$21,0)+1,1))),"")</f>
        <v>Mesnevi Nuriye</v>
      </c>
      <c r="C33" s="37" t="str">
        <f t="shared" si="0"/>
        <v>218 - 269</v>
      </c>
      <c r="D33" s="39" t="str">
        <f>IF(J33&lt;&gt;"",IFERROR(VLOOKUP(J33,AdiSoyadi!$A$2:$E$108,4,0),""),"")</f>
        <v>FATİH</v>
      </c>
      <c r="J33" t="str">
        <f t="shared" si="1"/>
        <v>G.10N.17</v>
      </c>
      <c r="K33" s="1">
        <f>IF(J33&lt;&gt;"",(IFERROR(IF(VLOOKUP(B32,Kitaplar!$A$2:$C$16,3,0)&gt;L32,L32+1,"5"),"")),"")</f>
        <v>218</v>
      </c>
      <c r="L33" s="1">
        <f>IFERROR(IF((VLOOKUP(B33,Kitaplar!$A$2:$C$27,3,0))-K33&gt;N33,K33+N33,VLOOKUP(B33,Kitaplar!$A$2:$C$27,3,0)),"")</f>
        <v>269</v>
      </c>
      <c r="M33" s="1">
        <v>10</v>
      </c>
      <c r="N33" s="1">
        <f t="shared" si="2"/>
        <v>70</v>
      </c>
      <c r="O33" s="1">
        <f t="shared" si="3"/>
        <v>17</v>
      </c>
    </row>
    <row r="34" spans="1:15" x14ac:dyDescent="0.25">
      <c r="A34" s="37">
        <f t="shared" si="5"/>
        <v>32</v>
      </c>
      <c r="B34" s="40" t="str">
        <f t="array" ref="B34">IF(J34&lt;&gt;"",(IF(K34&lt;&gt;"5",B33,INDEX(Kitaplar!$A$2:$A$20,MATCH(B33,Kitaplar!$A$2:$A$21,0)+1,1))),"")</f>
        <v>Sikke-i Tastik-i Gaybi</v>
      </c>
      <c r="C34" s="37" t="str">
        <f t="shared" si="0"/>
        <v>5 - 75</v>
      </c>
      <c r="D34" s="39" t="str">
        <f>IF(J34&lt;&gt;"",IFERROR(VLOOKUP(J34,AdiSoyadi!$A$2:$E$108,4,0),""),"")</f>
        <v>FUAT</v>
      </c>
      <c r="J34" t="str">
        <f t="shared" si="1"/>
        <v>G.10N.18</v>
      </c>
      <c r="K34" s="1" t="str">
        <f>IF(J34&lt;&gt;"",(IFERROR(IF(VLOOKUP(B33,Kitaplar!$A$2:$C$16,3,0)&gt;L33,L33+1,"5"),"")),"")</f>
        <v>5</v>
      </c>
      <c r="L34" s="1">
        <f>IFERROR(IF((VLOOKUP(B34,Kitaplar!$A$2:$C$27,3,0))-K34&gt;N34,K34+N34,VLOOKUP(B34,Kitaplar!$A$2:$C$27,3,0)),"")</f>
        <v>75</v>
      </c>
      <c r="M34" s="1">
        <v>10</v>
      </c>
      <c r="N34" s="1">
        <f t="shared" si="2"/>
        <v>70</v>
      </c>
      <c r="O34" s="1">
        <f t="shared" si="3"/>
        <v>18</v>
      </c>
    </row>
    <row r="35" spans="1:15" x14ac:dyDescent="0.25">
      <c r="A35" s="37">
        <f t="shared" si="5"/>
        <v>33</v>
      </c>
      <c r="B35" s="40" t="str">
        <f t="array" ref="B35">IF(J35&lt;&gt;"",(IF(K35&lt;&gt;"5",B34,INDEX(Kitaplar!$A$2:$A$20,MATCH(B34,Kitaplar!$A$2:$A$21,0)+1,1))),"")</f>
        <v>Sikke-i Tastik-i Gaybi</v>
      </c>
      <c r="C35" s="37" t="str">
        <f t="shared" si="0"/>
        <v>76 - 146</v>
      </c>
      <c r="D35" s="39" t="str">
        <f>IF(J35&lt;&gt;"",IFERROR(VLOOKUP(J35,AdiSoyadi!$A$2:$E$108,4,0),""),"")</f>
        <v>GÖKHAN</v>
      </c>
      <c r="J35" t="str">
        <f t="shared" si="1"/>
        <v>G.10N.19</v>
      </c>
      <c r="K35" s="1">
        <f>IF(J35&lt;&gt;"",(IFERROR(IF(VLOOKUP(B34,Kitaplar!$A$2:$C$16,3,0)&gt;L34,L34+1,"5"),"")),"")</f>
        <v>76</v>
      </c>
      <c r="L35" s="1">
        <f>IFERROR(IF((VLOOKUP(B35,Kitaplar!$A$2:$C$27,3,0))-K35&gt;N35,K35+N35,VLOOKUP(B35,Kitaplar!$A$2:$C$27,3,0)),"")</f>
        <v>146</v>
      </c>
      <c r="M35" s="1">
        <v>10</v>
      </c>
      <c r="N35" s="1">
        <f t="shared" si="2"/>
        <v>70</v>
      </c>
      <c r="O35" s="1">
        <f t="shared" si="3"/>
        <v>19</v>
      </c>
    </row>
    <row r="36" spans="1:15" x14ac:dyDescent="0.25">
      <c r="A36" s="37">
        <f t="shared" si="5"/>
        <v>34</v>
      </c>
      <c r="B36" s="40" t="str">
        <f t="array" ref="B36">IF(J36&lt;&gt;"",(IF(K36&lt;&gt;"5",B35,INDEX(Kitaplar!$A$2:$A$20,MATCH(B35,Kitaplar!$A$2:$A$21,0)+1,1))),"")</f>
        <v>Sikke-i Tastik-i Gaybi</v>
      </c>
      <c r="C36" s="37" t="str">
        <f t="shared" si="0"/>
        <v>147 - 217</v>
      </c>
      <c r="D36" s="39" t="str">
        <f>IF(J36&lt;&gt;"",IFERROR(VLOOKUP(J36,AdiSoyadi!$A$2:$E$108,4,0),""),"")</f>
        <v>ORHAN</v>
      </c>
      <c r="J36" t="str">
        <f t="shared" si="1"/>
        <v>G.10N.20</v>
      </c>
      <c r="K36" s="1">
        <f>IF(J36&lt;&gt;"",(IFERROR(IF(VLOOKUP(B35,Kitaplar!$A$2:$C$16,3,0)&gt;L35,L35+1,"5"),"")),"")</f>
        <v>147</v>
      </c>
      <c r="L36" s="1">
        <f>IFERROR(IF((VLOOKUP(B36,Kitaplar!$A$2:$C$27,3,0))-K36&gt;N36,K36+N36,VLOOKUP(B36,Kitaplar!$A$2:$C$27,3,0)),"")</f>
        <v>217</v>
      </c>
      <c r="M36" s="1">
        <v>10</v>
      </c>
      <c r="N36" s="1">
        <f t="shared" si="2"/>
        <v>70</v>
      </c>
      <c r="O36" s="1">
        <f t="shared" si="3"/>
        <v>20</v>
      </c>
    </row>
    <row r="37" spans="1:15" x14ac:dyDescent="0.25">
      <c r="A37" s="37">
        <f t="shared" si="5"/>
        <v>35</v>
      </c>
      <c r="B37" s="40" t="str">
        <f t="array" ref="B37">IF(J37&lt;&gt;"",(IF(K37&lt;&gt;"5",B36,INDEX(Kitaplar!$A$2:$A$20,MATCH(B36,Kitaplar!$A$2:$A$21,0)+1,1))),"")</f>
        <v>Sikke-i Tastik-i Gaybi</v>
      </c>
      <c r="C37" s="37" t="str">
        <f t="shared" si="0"/>
        <v>218 - 271</v>
      </c>
      <c r="D37" s="39" t="str">
        <f>IF(J37&lt;&gt;"",IFERROR(VLOOKUP(J37,AdiSoyadi!$A$2:$E$108,4,0),""),"")</f>
        <v>MEHMET</v>
      </c>
      <c r="J37" t="str">
        <f t="shared" si="1"/>
        <v>G.10N.21</v>
      </c>
      <c r="K37" s="1">
        <f>IF(J37&lt;&gt;"",(IFERROR(IF(VLOOKUP(B36,Kitaplar!$A$2:$C$16,3,0)&gt;L36,L36+1,"5"),"")),"")</f>
        <v>218</v>
      </c>
      <c r="L37" s="1">
        <f>IFERROR(IF((VLOOKUP(B37,Kitaplar!$A$2:$C$27,3,0))-K37&gt;N37,K37+N37,VLOOKUP(B37,Kitaplar!$A$2:$C$27,3,0)),"")</f>
        <v>271</v>
      </c>
      <c r="M37" s="1">
        <v>10</v>
      </c>
      <c r="N37" s="1">
        <f t="shared" si="2"/>
        <v>70</v>
      </c>
      <c r="O37" s="1">
        <f t="shared" si="3"/>
        <v>21</v>
      </c>
    </row>
    <row r="38" spans="1:15" x14ac:dyDescent="0.25">
      <c r="A38" s="37">
        <f t="shared" ref="A38:A52" si="6">IF(B38&gt;"",A37+1,"")</f>
        <v>36</v>
      </c>
      <c r="B38" s="40" t="str">
        <f t="array" ref="B38">IF(J38&lt;&gt;"",(IF(K38&lt;&gt;"5",B37,INDEX(Kitaplar!$A$2:$A$20,MATCH(B37,Kitaplar!$A$2:$A$21,0)+1,1))),"")</f>
        <v>İşaretü'l İ'caz</v>
      </c>
      <c r="C38" s="37" t="str">
        <f t="shared" si="0"/>
        <v>5 - 75</v>
      </c>
      <c r="D38" s="39" t="str">
        <f>IF(J38&lt;&gt;"",IFERROR(VLOOKUP(J38,AdiSoyadi!$A$2:$E$108,4,0),""),"")</f>
        <v>EVREN</v>
      </c>
      <c r="J38" t="str">
        <f t="shared" si="1"/>
        <v>G.10N.22</v>
      </c>
      <c r="K38" s="1" t="str">
        <f>IF(J38&lt;&gt;"",(IFERROR(IF(VLOOKUP(B37,Kitaplar!$A$2:$C$16,3,0)&gt;L37,L37+1,"5"),"")),"")</f>
        <v>5</v>
      </c>
      <c r="L38" s="1">
        <f>IFERROR(IF((VLOOKUP(B38,Kitaplar!$A$2:$C$27,3,0))-K38&gt;N38,K38+N38,VLOOKUP(B38,Kitaplar!$A$2:$C$27,3,0)),"")</f>
        <v>75</v>
      </c>
      <c r="M38" s="1">
        <v>10</v>
      </c>
      <c r="N38" s="1">
        <f t="shared" si="2"/>
        <v>70</v>
      </c>
      <c r="O38" s="1">
        <f t="shared" si="3"/>
        <v>22</v>
      </c>
    </row>
    <row r="39" spans="1:15" x14ac:dyDescent="0.25">
      <c r="A39" s="37">
        <f t="shared" si="6"/>
        <v>37</v>
      </c>
      <c r="B39" s="40" t="str">
        <f t="array" ref="B39">IF(J39&lt;&gt;"",(IF(K39&lt;&gt;"5",B38,INDEX(Kitaplar!$A$2:$A$20,MATCH(B38,Kitaplar!$A$2:$A$21,0)+1,1))),"")</f>
        <v>İşaretü'l İ'caz</v>
      </c>
      <c r="C39" s="37" t="str">
        <f t="shared" si="0"/>
        <v>76 - 146</v>
      </c>
      <c r="D39" s="39" t="str">
        <f>IF(J39&lt;&gt;"",IFERROR(VLOOKUP(J39,AdiSoyadi!$A$2:$E$108,4,0),""),"")</f>
        <v>OKTAY</v>
      </c>
      <c r="J39" t="str">
        <f t="shared" si="1"/>
        <v>G.10N.23</v>
      </c>
      <c r="K39" s="1">
        <f>IF(J39&lt;&gt;"",(IFERROR(IF(VLOOKUP(B38,Kitaplar!$A$2:$C$16,3,0)&gt;L38,L38+1,"5"),"")),"")</f>
        <v>76</v>
      </c>
      <c r="L39" s="1">
        <f>IFERROR(IF((VLOOKUP(B39,Kitaplar!$A$2:$C$27,3,0))-K39&gt;N39,K39+N39,VLOOKUP(B39,Kitaplar!$A$2:$C$27,3,0)),"")</f>
        <v>146</v>
      </c>
      <c r="M39" s="1">
        <v>10</v>
      </c>
      <c r="N39" s="1">
        <f t="shared" si="2"/>
        <v>70</v>
      </c>
      <c r="O39" s="1">
        <f t="shared" si="3"/>
        <v>23</v>
      </c>
    </row>
    <row r="40" spans="1:15" x14ac:dyDescent="0.25">
      <c r="A40" s="37">
        <f t="shared" si="6"/>
        <v>38</v>
      </c>
      <c r="B40" s="40" t="str">
        <f t="array" ref="B40">IF(J40&lt;&gt;"",(IF(K40&lt;&gt;"5",B39,INDEX(Kitaplar!$A$2:$A$20,MATCH(B39,Kitaplar!$A$2:$A$21,0)+1,1))),"")</f>
        <v>İşaretü'l İ'caz</v>
      </c>
      <c r="C40" s="37" t="str">
        <f t="shared" si="0"/>
        <v>147 - 217</v>
      </c>
      <c r="D40" s="39" t="str">
        <f>IF(J40&lt;&gt;"",IFERROR(VLOOKUP(J40,AdiSoyadi!$A$2:$E$108,4,0),""),"")</f>
        <v>HARUN</v>
      </c>
      <c r="J40" t="str">
        <f t="shared" si="1"/>
        <v>G.10N.24</v>
      </c>
      <c r="K40" s="1">
        <f>IF(J40&lt;&gt;"",(IFERROR(IF(VLOOKUP(B39,Kitaplar!$A$2:$C$16,3,0)&gt;L39,L39+1,"5"),"")),"")</f>
        <v>147</v>
      </c>
      <c r="L40" s="1">
        <f>IFERROR(IF((VLOOKUP(B40,Kitaplar!$A$2:$C$27,3,0))-K40&gt;N40,K40+N40,VLOOKUP(B40,Kitaplar!$A$2:$C$27,3,0)),"")</f>
        <v>217</v>
      </c>
      <c r="M40" s="1">
        <v>10</v>
      </c>
      <c r="N40" s="1">
        <f t="shared" si="2"/>
        <v>70</v>
      </c>
      <c r="O40" s="1">
        <f t="shared" si="3"/>
        <v>24</v>
      </c>
    </row>
    <row r="41" spans="1:15" x14ac:dyDescent="0.25">
      <c r="A41" s="37">
        <f t="shared" si="6"/>
        <v>39</v>
      </c>
      <c r="B41" s="40" t="str">
        <f t="array" ref="B41">IF(J41&lt;&gt;"",(IF(K41&lt;&gt;"5",B40,INDEX(Kitaplar!$A$2:$A$20,MATCH(B40,Kitaplar!$A$2:$A$21,0)+1,1))),"")</f>
        <v>İşaretü'l İ'caz</v>
      </c>
      <c r="C41" s="37" t="str">
        <f t="shared" si="0"/>
        <v>218 - 230</v>
      </c>
      <c r="D41" s="39" t="str">
        <f>IF(J41&lt;&gt;"",IFERROR(VLOOKUP(J41,AdiSoyadi!$A$2:$E$108,4,0),""),"")</f>
        <v>YAVUZ</v>
      </c>
      <c r="J41" t="str">
        <f t="shared" si="1"/>
        <v>G.10N.25</v>
      </c>
      <c r="K41" s="1">
        <f>IF(J41&lt;&gt;"",(IFERROR(IF(VLOOKUP(B40,Kitaplar!$A$2:$C$16,3,0)&gt;L40,L40+1,"5"),"")),"")</f>
        <v>218</v>
      </c>
      <c r="L41" s="1">
        <f>IFERROR(IF((VLOOKUP(B41,Kitaplar!$A$2:$C$27,3,0))-K41&gt;N41,K41+N41,VLOOKUP(B41,Kitaplar!$A$2:$C$27,3,0)),"")</f>
        <v>230</v>
      </c>
      <c r="M41" s="1">
        <v>10</v>
      </c>
      <c r="N41" s="1">
        <f t="shared" si="2"/>
        <v>70</v>
      </c>
      <c r="O41" s="1">
        <f t="shared" si="3"/>
        <v>25</v>
      </c>
    </row>
    <row r="42" spans="1:15" x14ac:dyDescent="0.25">
      <c r="A42" s="37">
        <f t="shared" si="6"/>
        <v>40</v>
      </c>
      <c r="B42" s="40" t="str">
        <f t="array" ref="B42">IF(J42&lt;&gt;"",(IF(K42&lt;&gt;"5",B41,INDEX(Kitaplar!$A$2:$A$20,MATCH(B41,Kitaplar!$A$2:$A$21,0)+1,1))),"")</f>
        <v>Tarihçe-i Hayat</v>
      </c>
      <c r="C42" s="37" t="str">
        <f t="shared" si="0"/>
        <v>5 - 75</v>
      </c>
      <c r="D42" s="39" t="str">
        <f>IF(J42&lt;&gt;"",IFERROR(VLOOKUP(J42,AdiSoyadi!$A$2:$E$108,4,0),""),"")</f>
        <v>YAVUZ2</v>
      </c>
      <c r="J42" t="str">
        <f t="shared" si="1"/>
        <v>G.10N.26</v>
      </c>
      <c r="K42" s="1" t="str">
        <f>IF(J42&lt;&gt;"",(IFERROR(IF(VLOOKUP(B41,Kitaplar!$A$2:$C$16,3,0)&gt;L41,L41+1,"5"),"")),"")</f>
        <v>5</v>
      </c>
      <c r="L42" s="1">
        <f>IFERROR(IF((VLOOKUP(B42,Kitaplar!$A$2:$C$27,3,0))-K42&gt;N42,K42+N42,VLOOKUP(B42,Kitaplar!$A$2:$C$27,3,0)),"")</f>
        <v>75</v>
      </c>
      <c r="M42" s="1">
        <v>10</v>
      </c>
      <c r="N42" s="1">
        <f t="shared" si="2"/>
        <v>70</v>
      </c>
      <c r="O42" s="1">
        <f t="shared" si="3"/>
        <v>26</v>
      </c>
    </row>
    <row r="43" spans="1:15" x14ac:dyDescent="0.25">
      <c r="A43" s="37">
        <f t="shared" si="6"/>
        <v>41</v>
      </c>
      <c r="B43" s="40" t="str">
        <f t="array" ref="B43">IF(J43&lt;&gt;"",(IF(K43&lt;&gt;"5",B42,INDEX(Kitaplar!$A$2:$A$20,MATCH(B42,Kitaplar!$A$2:$A$21,0)+1,1))),"")</f>
        <v>Tarihçe-i Hayat</v>
      </c>
      <c r="C43" s="37" t="str">
        <f t="shared" si="0"/>
        <v>76 - 146</v>
      </c>
      <c r="D43" s="39" t="str">
        <f>IF(J43&lt;&gt;"",IFERROR(VLOOKUP(J43,AdiSoyadi!$A$2:$E$108,4,0),""),"")</f>
        <v>MEHMET</v>
      </c>
      <c r="J43" t="str">
        <f t="shared" si="1"/>
        <v>G.10N.27</v>
      </c>
      <c r="K43" s="1">
        <f>IF(J43&lt;&gt;"",(IFERROR(IF(VLOOKUP(B42,Kitaplar!$A$2:$C$16,3,0)&gt;L42,L42+1,"5"),"")),"")</f>
        <v>76</v>
      </c>
      <c r="L43" s="1">
        <f>IFERROR(IF((VLOOKUP(B43,Kitaplar!$A$2:$C$27,3,0))-K43&gt;N43,K43+N43,VLOOKUP(B43,Kitaplar!$A$2:$C$27,3,0)),"")</f>
        <v>146</v>
      </c>
      <c r="M43" s="1">
        <v>10</v>
      </c>
      <c r="N43" s="1">
        <f t="shared" si="2"/>
        <v>70</v>
      </c>
      <c r="O43" s="1">
        <f t="shared" si="3"/>
        <v>27</v>
      </c>
    </row>
    <row r="44" spans="1:15" x14ac:dyDescent="0.25">
      <c r="A44" s="37">
        <f t="shared" si="6"/>
        <v>42</v>
      </c>
      <c r="B44" s="40" t="str">
        <f t="array" ref="B44">IF(J44&lt;&gt;"",(IF(K44&lt;&gt;"5",B43,INDEX(Kitaplar!$A$2:$A$20,MATCH(B43,Kitaplar!$A$2:$A$21,0)+1,1))),"")</f>
        <v>Tarihçe-i Hayat</v>
      </c>
      <c r="C44" s="37" t="str">
        <f t="shared" si="0"/>
        <v>147 - 217</v>
      </c>
      <c r="D44" s="39" t="str">
        <f>IF(J44&lt;&gt;"",IFERROR(VLOOKUP(J44,AdiSoyadi!$A$2:$E$108,4,0),""),"")</f>
        <v>UMUT</v>
      </c>
      <c r="J44" t="str">
        <f t="shared" si="1"/>
        <v>G.10N.28</v>
      </c>
      <c r="K44" s="1">
        <f>IF(J44&lt;&gt;"",(IFERROR(IF(VLOOKUP(B43,Kitaplar!$A$2:$C$16,3,0)&gt;L43,L43+1,"5"),"")),"")</f>
        <v>147</v>
      </c>
      <c r="L44" s="1">
        <f>IFERROR(IF((VLOOKUP(B44,Kitaplar!$A$2:$C$27,3,0))-K44&gt;N44,K44+N44,VLOOKUP(B44,Kitaplar!$A$2:$C$27,3,0)),"")</f>
        <v>217</v>
      </c>
      <c r="M44" s="1">
        <v>10</v>
      </c>
      <c r="N44" s="1">
        <f t="shared" si="2"/>
        <v>70</v>
      </c>
      <c r="O44" s="1">
        <f t="shared" si="3"/>
        <v>28</v>
      </c>
    </row>
    <row r="45" spans="1:15" x14ac:dyDescent="0.25">
      <c r="A45" s="37">
        <f t="shared" si="6"/>
        <v>43</v>
      </c>
      <c r="B45" s="40" t="str">
        <f t="array" ref="B45">IF(J45&lt;&gt;"",(IF(K45&lt;&gt;"5",B44,INDEX(Kitaplar!$A$2:$A$20,MATCH(B44,Kitaplar!$A$2:$A$21,0)+1,1))),"")</f>
        <v>Tarihçe-i Hayat</v>
      </c>
      <c r="C45" s="37" t="str">
        <f t="shared" si="0"/>
        <v>218 - 288</v>
      </c>
      <c r="D45" s="39" t="str">
        <f>IF(J45&lt;&gt;"",IFERROR(VLOOKUP(J45,AdiSoyadi!$A$2:$E$108,4,0),""),"")</f>
        <v>HÜSEYİN CAHİT2</v>
      </c>
      <c r="J45" t="str">
        <f t="shared" si="1"/>
        <v>G.10N.29</v>
      </c>
      <c r="K45" s="1">
        <f>IF(J45&lt;&gt;"",(IFERROR(IF(VLOOKUP(B44,Kitaplar!$A$2:$C$16,3,0)&gt;L44,L44+1,"5"),"")),"")</f>
        <v>218</v>
      </c>
      <c r="L45" s="1">
        <f>IFERROR(IF((VLOOKUP(B45,Kitaplar!$A$2:$C$27,3,0))-K45&gt;N45,K45+N45,VLOOKUP(B45,Kitaplar!$A$2:$C$27,3,0)),"")</f>
        <v>288</v>
      </c>
      <c r="M45" s="1">
        <v>10</v>
      </c>
      <c r="N45" s="1">
        <f t="shared" si="2"/>
        <v>70</v>
      </c>
      <c r="O45" s="1">
        <f t="shared" si="3"/>
        <v>29</v>
      </c>
    </row>
    <row r="46" spans="1:15" x14ac:dyDescent="0.25">
      <c r="A46" s="37">
        <f t="shared" si="6"/>
        <v>44</v>
      </c>
      <c r="B46" s="40" t="str">
        <f t="array" ref="B46">IF(J46&lt;&gt;"",(IF(K46&lt;&gt;"5",B45,INDEX(Kitaplar!$A$2:$A$20,MATCH(B45,Kitaplar!$A$2:$A$21,0)+1,1))),"")</f>
        <v>Tarihçe-i Hayat</v>
      </c>
      <c r="C46" s="37" t="str">
        <f t="shared" si="0"/>
        <v>289 - 359</v>
      </c>
      <c r="D46" s="39" t="str">
        <f>IF(J46&lt;&gt;"",IFERROR(VLOOKUP(J46,AdiSoyadi!$A$2:$E$108,4,0),""),"")</f>
        <v>HÜSEYİN CAHİT</v>
      </c>
      <c r="J46" t="str">
        <f t="shared" si="1"/>
        <v>G.10N.30</v>
      </c>
      <c r="K46" s="1">
        <f>IF(J46&lt;&gt;"",(IFERROR(IF(VLOOKUP(B45,Kitaplar!$A$2:$C$16,3,0)&gt;L45,L45+1,"5"),"")),"")</f>
        <v>289</v>
      </c>
      <c r="L46" s="1">
        <f>IFERROR(IF((VLOOKUP(B46,Kitaplar!$A$2:$C$27,3,0))-K46&gt;N46,K46+N46,VLOOKUP(B46,Kitaplar!$A$2:$C$27,3,0)),"")</f>
        <v>359</v>
      </c>
      <c r="M46" s="1">
        <v>10</v>
      </c>
      <c r="N46" s="1">
        <f t="shared" si="2"/>
        <v>70</v>
      </c>
      <c r="O46" s="1">
        <f t="shared" si="3"/>
        <v>30</v>
      </c>
    </row>
    <row r="47" spans="1:15" x14ac:dyDescent="0.25">
      <c r="A47" s="37">
        <f t="shared" si="6"/>
        <v>45</v>
      </c>
      <c r="B47" s="40" t="str">
        <f t="array" ref="B47">IF(J47&lt;&gt;"",(IF(K47&lt;&gt;"5",B46,INDEX(Kitaplar!$A$2:$A$20,MATCH(B46,Kitaplar!$A$2:$A$21,0)+1,1))),"")</f>
        <v>Tarihçe-i Hayat</v>
      </c>
      <c r="C47" s="37" t="str">
        <f t="shared" si="0"/>
        <v>360 - 430</v>
      </c>
      <c r="D47" s="39" t="str">
        <f>IF(J47&lt;&gt;"",IFERROR(VLOOKUP(J47,AdiSoyadi!$A$2:$E$108,4,0),""),"")</f>
        <v>HAŞİM ONUR</v>
      </c>
      <c r="J47" t="str">
        <f t="shared" si="1"/>
        <v>G.10N.31</v>
      </c>
      <c r="K47" s="1">
        <f>IF(J47&lt;&gt;"",(IFERROR(IF(VLOOKUP(B46,Kitaplar!$A$2:$C$16,3,0)&gt;L46,L46+1,"5"),"")),"")</f>
        <v>360</v>
      </c>
      <c r="L47" s="1">
        <f>IFERROR(IF((VLOOKUP(B47,Kitaplar!$A$2:$C$27,3,0))-K47&gt;N47,K47+N47,VLOOKUP(B47,Kitaplar!$A$2:$C$27,3,0)),"")</f>
        <v>430</v>
      </c>
      <c r="M47" s="1">
        <v>10</v>
      </c>
      <c r="N47" s="1">
        <f t="shared" si="2"/>
        <v>70</v>
      </c>
      <c r="O47" s="1">
        <f t="shared" si="3"/>
        <v>31</v>
      </c>
    </row>
    <row r="48" spans="1:15" x14ac:dyDescent="0.25">
      <c r="A48" s="37">
        <f t="shared" si="6"/>
        <v>46</v>
      </c>
      <c r="B48" s="40" t="str">
        <f t="array" ref="B48">IF(J48&lt;&gt;"",(IF(K48&lt;&gt;"5",B47,INDEX(Kitaplar!$A$2:$A$20,MATCH(B47,Kitaplar!$A$2:$A$21,0)+1,1))),"")</f>
        <v>Tarihçe-i Hayat</v>
      </c>
      <c r="C48" s="37" t="str">
        <f t="shared" si="0"/>
        <v>431 - 501</v>
      </c>
      <c r="D48" s="39" t="str">
        <f>IF(J48&lt;&gt;"",IFERROR(VLOOKUP(J48,AdiSoyadi!$A$2:$E$108,4,0),""),"")</f>
        <v>EYYUP SABRİ</v>
      </c>
      <c r="J48" t="str">
        <f t="shared" si="1"/>
        <v>G.10N.32</v>
      </c>
      <c r="K48" s="1">
        <f>IF(J48&lt;&gt;"",(IFERROR(IF(VLOOKUP(B47,Kitaplar!$A$2:$C$16,3,0)&gt;L47,L47+1,"5"),"")),"")</f>
        <v>431</v>
      </c>
      <c r="L48" s="1">
        <f>IFERROR(IF((VLOOKUP(B48,Kitaplar!$A$2:$C$27,3,0))-K48&gt;N48,K48+N48,VLOOKUP(B48,Kitaplar!$A$2:$C$27,3,0)),"")</f>
        <v>501</v>
      </c>
      <c r="M48" s="1">
        <v>10</v>
      </c>
      <c r="N48" s="1">
        <f t="shared" si="2"/>
        <v>70</v>
      </c>
      <c r="O48" s="1">
        <f t="shared" si="3"/>
        <v>32</v>
      </c>
    </row>
    <row r="49" spans="1:15" x14ac:dyDescent="0.25">
      <c r="A49" s="37">
        <f t="shared" si="6"/>
        <v>47</v>
      </c>
      <c r="B49" s="40" t="str">
        <f t="array" ref="B49">IF(J49&lt;&gt;"",(IF(K49&lt;&gt;"5",B48,INDEX(Kitaplar!$A$2:$A$20,MATCH(B48,Kitaplar!$A$2:$A$21,0)+1,1))),"")</f>
        <v>Tarihçe-i Hayat</v>
      </c>
      <c r="C49" s="37" t="str">
        <f t="shared" si="0"/>
        <v>502 - 572</v>
      </c>
      <c r="D49" s="39" t="str">
        <f>IF(J49&lt;&gt;"",IFERROR(VLOOKUP(J49,AdiSoyadi!$A$2:$E$108,4,0),""),"")</f>
        <v>MUSTAFA3</v>
      </c>
      <c r="J49" t="str">
        <f t="shared" si="1"/>
        <v>G.10N.33</v>
      </c>
      <c r="K49" s="1">
        <f>IF(J49&lt;&gt;"",(IFERROR(IF(VLOOKUP(B48,Kitaplar!$A$2:$C$16,3,0)&gt;L48,L48+1,"5"),"")),"")</f>
        <v>502</v>
      </c>
      <c r="L49" s="1">
        <f>IFERROR(IF((VLOOKUP(B49,Kitaplar!$A$2:$C$27,3,0))-K49&gt;N49,K49+N49,VLOOKUP(B49,Kitaplar!$A$2:$C$27,3,0)),"")</f>
        <v>572</v>
      </c>
      <c r="M49" s="1">
        <v>10</v>
      </c>
      <c r="N49" s="1">
        <f t="shared" si="2"/>
        <v>70</v>
      </c>
      <c r="O49" s="1">
        <f t="shared" si="3"/>
        <v>33</v>
      </c>
    </row>
    <row r="50" spans="1:15" x14ac:dyDescent="0.25">
      <c r="A50" s="37">
        <f t="shared" si="6"/>
        <v>48</v>
      </c>
      <c r="B50" s="40" t="str">
        <f t="array" ref="B50">IF(J50&lt;&gt;"",(IF(K50&lt;&gt;"5",B49,INDEX(Kitaplar!$A$2:$A$20,MATCH(B49,Kitaplar!$A$2:$A$21,0)+1,1))),"")</f>
        <v>Tarihçe-i Hayat</v>
      </c>
      <c r="C50" s="37" t="str">
        <f t="shared" si="0"/>
        <v>573 - 643</v>
      </c>
      <c r="D50" s="39" t="str">
        <f>IF(J50&lt;&gt;"",IFERROR(VLOOKUP(J50,AdiSoyadi!$A$2:$E$108,4,0),""),"")</f>
        <v>MUSTAFA</v>
      </c>
      <c r="J50" t="str">
        <f t="shared" si="1"/>
        <v>G.10N.34</v>
      </c>
      <c r="K50" s="1">
        <f>IF(J50&lt;&gt;"",(IFERROR(IF(VLOOKUP(B49,Kitaplar!$A$2:$C$16,3,0)&gt;L49,L49+1,"5"),"")),"")</f>
        <v>573</v>
      </c>
      <c r="L50" s="1">
        <f>IFERROR(IF((VLOOKUP(B50,Kitaplar!$A$2:$C$27,3,0))-K50&gt;N50,K50+N50,VLOOKUP(B50,Kitaplar!$A$2:$C$27,3,0)),"")</f>
        <v>643</v>
      </c>
      <c r="M50" s="1">
        <v>10</v>
      </c>
      <c r="N50" s="1">
        <f t="shared" si="2"/>
        <v>70</v>
      </c>
      <c r="O50" s="1">
        <f t="shared" si="3"/>
        <v>34</v>
      </c>
    </row>
    <row r="51" spans="1:15" x14ac:dyDescent="0.25">
      <c r="A51" s="37">
        <f t="shared" si="6"/>
        <v>49</v>
      </c>
      <c r="B51" s="40" t="str">
        <f t="array" ref="B51">IF(J51&lt;&gt;"",(IF(K51&lt;&gt;"5",B50,INDEX(Kitaplar!$A$2:$A$20,MATCH(B50,Kitaplar!$A$2:$A$21,0)+1,1))),"")</f>
        <v>Tarihçe-i Hayat</v>
      </c>
      <c r="C51" s="37" t="str">
        <f t="shared" si="0"/>
        <v>644 - 714</v>
      </c>
      <c r="D51" s="39" t="str">
        <f>IF(J51&lt;&gt;"",IFERROR(VLOOKUP(J51,AdiSoyadi!$A$2:$E$108,4,0),""),"")</f>
        <v>UFUK</v>
      </c>
      <c r="J51" t="str">
        <f t="shared" si="1"/>
        <v>G.10N.35</v>
      </c>
      <c r="K51" s="1">
        <f>IF(J51&lt;&gt;"",(IFERROR(IF(VLOOKUP(B50,Kitaplar!$A$2:$C$16,3,0)&gt;L50,L50+1,"5"),"")),"")</f>
        <v>644</v>
      </c>
      <c r="L51" s="1">
        <f>IFERROR(IF((VLOOKUP(B51,Kitaplar!$A$2:$C$27,3,0))-K51&gt;N51,K51+N51,VLOOKUP(B51,Kitaplar!$A$2:$C$27,3,0)),"")</f>
        <v>714</v>
      </c>
      <c r="M51" s="1">
        <v>10</v>
      </c>
      <c r="N51" s="1">
        <f t="shared" si="2"/>
        <v>70</v>
      </c>
      <c r="O51" s="1">
        <f t="shared" si="3"/>
        <v>35</v>
      </c>
    </row>
    <row r="52" spans="1:15" x14ac:dyDescent="0.25">
      <c r="A52" s="37">
        <f t="shared" si="6"/>
        <v>50</v>
      </c>
      <c r="B52" s="40" t="str">
        <f t="array" ref="B52">IF(J52&lt;&gt;"",(IF(K52&lt;&gt;"5",B51,INDEX(Kitaplar!$A$2:$A$20,MATCH(B51,Kitaplar!$A$2:$A$21,0)+1,1))),"")</f>
        <v>Tarihçe-i Hayat</v>
      </c>
      <c r="C52" s="37" t="str">
        <f t="shared" si="0"/>
        <v>715 - 740</v>
      </c>
      <c r="D52" s="39" t="str">
        <f>IF(J52&lt;&gt;"",IFERROR(VLOOKUP(J52,AdiSoyadi!$A$2:$E$108,4,0),""),"")</f>
        <v>AHMET ALİ</v>
      </c>
      <c r="J52" t="str">
        <f t="shared" si="1"/>
        <v>G.10N.36</v>
      </c>
      <c r="K52" s="1">
        <f>IF(J52&lt;&gt;"",(IFERROR(IF(VLOOKUP(B51,Kitaplar!$A$2:$C$16,3,0)&gt;L51,L51+1,"5"),"")),"")</f>
        <v>715</v>
      </c>
      <c r="L52" s="1">
        <f>IFERROR(IF((VLOOKUP(B52,Kitaplar!$A$2:$C$27,3,0))-K52&gt;N52,K52+N52,VLOOKUP(B52,Kitaplar!$A$2:$C$27,3,0)),"")</f>
        <v>740</v>
      </c>
      <c r="M52" s="1">
        <v>10</v>
      </c>
      <c r="N52" s="1">
        <f t="shared" si="2"/>
        <v>70</v>
      </c>
      <c r="O52" s="1">
        <f t="shared" si="3"/>
        <v>36</v>
      </c>
    </row>
    <row r="53" spans="1:15" x14ac:dyDescent="0.25">
      <c r="A53" s="37">
        <f t="shared" ref="A53:A84" si="7">IF(B53&gt;"",A52+1,"")</f>
        <v>51</v>
      </c>
      <c r="B53" s="40" t="str">
        <f t="array" ref="B53">IF(J53&lt;&gt;"",(IF(K53&lt;&gt;"5",B52,INDEX(Kitaplar!$A$2:$A$20,MATCH(B52,Kitaplar!$A$2:$A$21,0)+1,1))),"")</f>
        <v>Barla Lahikası</v>
      </c>
      <c r="C53" s="37" t="str">
        <f t="shared" si="0"/>
        <v>5 - 75</v>
      </c>
      <c r="D53" s="39" t="str">
        <f>IF(J53&lt;&gt;"",IFERROR(VLOOKUP(J53,AdiSoyadi!$A$2:$E$108,4,0),""),"")</f>
        <v>HASAN3</v>
      </c>
      <c r="J53" t="str">
        <f t="shared" si="1"/>
        <v>G.10N.37</v>
      </c>
      <c r="K53" s="1" t="str">
        <f>IF(J53&lt;&gt;"",(IFERROR(IF(VLOOKUP(B52,Kitaplar!$A$2:$C$16,3,0)&gt;L52,L52+1,"5"),"")),"")</f>
        <v>5</v>
      </c>
      <c r="L53" s="1">
        <f>IFERROR(IF((VLOOKUP(B53,Kitaplar!$A$2:$C$27,3,0))-K53&gt;N53,K53+N53,VLOOKUP(B53,Kitaplar!$A$2:$C$27,3,0)),"")</f>
        <v>75</v>
      </c>
      <c r="M53" s="1">
        <v>10</v>
      </c>
      <c r="N53" s="1">
        <f t="shared" si="2"/>
        <v>70</v>
      </c>
      <c r="O53" s="1">
        <f t="shared" si="3"/>
        <v>37</v>
      </c>
    </row>
    <row r="54" spans="1:15" x14ac:dyDescent="0.25">
      <c r="A54" s="37">
        <f t="shared" si="7"/>
        <v>52</v>
      </c>
      <c r="B54" s="40" t="str">
        <f t="array" ref="B54">IF(J54&lt;&gt;"",(IF(K54&lt;&gt;"5",B53,INDEX(Kitaplar!$A$2:$A$20,MATCH(B53,Kitaplar!$A$2:$A$21,0)+1,1))),"")</f>
        <v>Barla Lahikası</v>
      </c>
      <c r="C54" s="37" t="str">
        <f t="shared" si="0"/>
        <v>76 - 146</v>
      </c>
      <c r="D54" s="39" t="str">
        <f>IF(J54&lt;&gt;"",IFERROR(VLOOKUP(J54,AdiSoyadi!$A$2:$E$108,4,0),""),"")</f>
        <v>HASAN</v>
      </c>
      <c r="J54" t="str">
        <f t="shared" si="1"/>
        <v>G.10N.38</v>
      </c>
      <c r="K54" s="1">
        <f>IF(J54&lt;&gt;"",(IFERROR(IF(VLOOKUP(B53,Kitaplar!$A$2:$C$16,3,0)&gt;L53,L53+1,"5"),"")),"")</f>
        <v>76</v>
      </c>
      <c r="L54" s="1">
        <f>IFERROR(IF((VLOOKUP(B54,Kitaplar!$A$2:$C$27,3,0))-K54&gt;N54,K54+N54,VLOOKUP(B54,Kitaplar!$A$2:$C$27,3,0)),"")</f>
        <v>146</v>
      </c>
      <c r="M54" s="1">
        <v>10</v>
      </c>
      <c r="N54" s="1">
        <f t="shared" si="2"/>
        <v>70</v>
      </c>
      <c r="O54" s="1">
        <f t="shared" si="3"/>
        <v>38</v>
      </c>
    </row>
    <row r="55" spans="1:15" x14ac:dyDescent="0.25">
      <c r="A55" s="37">
        <f t="shared" si="7"/>
        <v>53</v>
      </c>
      <c r="B55" s="40" t="str">
        <f t="array" ref="B55">IF(J55&lt;&gt;"",(IF(K55&lt;&gt;"5",B54,INDEX(Kitaplar!$A$2:$A$20,MATCH(B54,Kitaplar!$A$2:$A$21,0)+1,1))),"")</f>
        <v>Barla Lahikası</v>
      </c>
      <c r="C55" s="37" t="str">
        <f t="shared" si="0"/>
        <v>147 - 217</v>
      </c>
      <c r="D55" s="39" t="str">
        <f>IF(J55&lt;&gt;"",IFERROR(VLOOKUP(J55,AdiSoyadi!$A$2:$E$108,4,0),""),"")</f>
        <v>KAMİL</v>
      </c>
      <c r="J55" t="str">
        <f t="shared" si="1"/>
        <v>G.10N.39</v>
      </c>
      <c r="K55" s="1">
        <f>IF(J55&lt;&gt;"",(IFERROR(IF(VLOOKUP(B54,Kitaplar!$A$2:$C$16,3,0)&gt;L54,L54+1,"5"),"")),"")</f>
        <v>147</v>
      </c>
      <c r="L55" s="1">
        <f>IFERROR(IF((VLOOKUP(B55,Kitaplar!$A$2:$C$27,3,0))-K55&gt;N55,K55+N55,VLOOKUP(B55,Kitaplar!$A$2:$C$27,3,0)),"")</f>
        <v>217</v>
      </c>
      <c r="M55" s="1">
        <v>10</v>
      </c>
      <c r="N55" s="1">
        <f t="shared" si="2"/>
        <v>70</v>
      </c>
      <c r="O55" s="1">
        <f t="shared" si="3"/>
        <v>39</v>
      </c>
    </row>
    <row r="56" spans="1:15" x14ac:dyDescent="0.25">
      <c r="A56" s="37">
        <f t="shared" si="7"/>
        <v>54</v>
      </c>
      <c r="B56" s="40" t="str">
        <f t="array" ref="B56">IF(J56&lt;&gt;"",(IF(K56&lt;&gt;"5",B55,INDEX(Kitaplar!$A$2:$A$20,MATCH(B55,Kitaplar!$A$2:$A$21,0)+1,1))),"")</f>
        <v>Barla Lahikası</v>
      </c>
      <c r="C56" s="37" t="str">
        <f t="shared" si="0"/>
        <v>218 - 288</v>
      </c>
      <c r="D56" s="39" t="str">
        <f>IF(J56&lt;&gt;"",IFERROR(VLOOKUP(J56,AdiSoyadi!$A$2:$E$108,4,0),""),"")</f>
        <v>NEBİ</v>
      </c>
      <c r="J56" t="str">
        <f t="shared" si="1"/>
        <v>G.10N.40</v>
      </c>
      <c r="K56" s="1">
        <f>IF(J56&lt;&gt;"",(IFERROR(IF(VLOOKUP(B55,Kitaplar!$A$2:$C$16,3,0)&gt;L55,L55+1,"5"),"")),"")</f>
        <v>218</v>
      </c>
      <c r="L56" s="1">
        <f>IFERROR(IF((VLOOKUP(B56,Kitaplar!$A$2:$C$27,3,0))-K56&gt;N56,K56+N56,VLOOKUP(B56,Kitaplar!$A$2:$C$27,3,0)),"")</f>
        <v>288</v>
      </c>
      <c r="M56" s="1">
        <v>10</v>
      </c>
      <c r="N56" s="1">
        <f t="shared" si="2"/>
        <v>70</v>
      </c>
      <c r="O56" s="1">
        <f t="shared" si="3"/>
        <v>40</v>
      </c>
    </row>
    <row r="57" spans="1:15" x14ac:dyDescent="0.25">
      <c r="A57" s="37">
        <f t="shared" si="7"/>
        <v>55</v>
      </c>
      <c r="B57" s="40" t="str">
        <f t="array" ref="B57">IF(J57&lt;&gt;"",(IF(K57&lt;&gt;"5",B56,INDEX(Kitaplar!$A$2:$A$20,MATCH(B56,Kitaplar!$A$2:$A$21,0)+1,1))),"")</f>
        <v>Barla Lahikası</v>
      </c>
      <c r="C57" s="37" t="str">
        <f t="shared" si="0"/>
        <v>289 - 324</v>
      </c>
      <c r="D57" s="39" t="str">
        <f>IF(J57&lt;&gt;"",IFERROR(VLOOKUP(J57,AdiSoyadi!$A$2:$E$108,4,0),""),"")</f>
        <v>ÖZCAN</v>
      </c>
      <c r="J57" t="str">
        <f t="shared" si="1"/>
        <v>G.5N.1</v>
      </c>
      <c r="K57" s="1">
        <f>IF(J57&lt;&gt;"",(IFERROR(IF(VLOOKUP(B56,Kitaplar!$A$2:$C$16,3,0)&gt;L56,L56+1,"5"),"")),"")</f>
        <v>289</v>
      </c>
      <c r="L57" s="1">
        <f>IFERROR(IF((VLOOKUP(B57,Kitaplar!$A$2:$C$27,3,0))-K57&gt;N57,K57+N57,VLOOKUP(B57,Kitaplar!$A$2:$C$27,3,0)),"")</f>
        <v>324</v>
      </c>
      <c r="M57" s="1">
        <v>5</v>
      </c>
      <c r="N57" s="1">
        <f t="shared" si="2"/>
        <v>35</v>
      </c>
      <c r="O57" s="1">
        <f t="shared" si="3"/>
        <v>1</v>
      </c>
    </row>
    <row r="58" spans="1:15" x14ac:dyDescent="0.25">
      <c r="A58" s="37">
        <f t="shared" si="7"/>
        <v>56</v>
      </c>
      <c r="B58" s="40" t="str">
        <f t="array" ref="B58">IF(J58&lt;&gt;"",(IF(K58&lt;&gt;"5",B57,INDEX(Kitaplar!$A$2:$A$20,MATCH(B57,Kitaplar!$A$2:$A$21,0)+1,1))),"")</f>
        <v>Barla Lahikası</v>
      </c>
      <c r="C58" s="37" t="str">
        <f t="shared" si="0"/>
        <v>325 - 360</v>
      </c>
      <c r="D58" s="39" t="str">
        <f>IF(J58&lt;&gt;"",IFERROR(VLOOKUP(J58,AdiSoyadi!$A$2:$E$108,4,0),""),"")</f>
        <v>ÖZCAN3</v>
      </c>
      <c r="J58" t="str">
        <f t="shared" si="1"/>
        <v>G.5N.2</v>
      </c>
      <c r="K58" s="1">
        <f>IF(J58&lt;&gt;"",(IFERROR(IF(VLOOKUP(B57,Kitaplar!$A$2:$C$16,3,0)&gt;L57,L57+1,"5"),"")),"")</f>
        <v>325</v>
      </c>
      <c r="L58" s="1">
        <f>IFERROR(IF((VLOOKUP(B58,Kitaplar!$A$2:$C$27,3,0))-K58&gt;N58,K58+N58,VLOOKUP(B58,Kitaplar!$A$2:$C$27,3,0)),"")</f>
        <v>360</v>
      </c>
      <c r="M58" s="1">
        <v>5</v>
      </c>
      <c r="N58" s="1">
        <f t="shared" si="2"/>
        <v>35</v>
      </c>
      <c r="O58" s="1">
        <f t="shared" si="3"/>
        <v>2</v>
      </c>
    </row>
    <row r="59" spans="1:15" x14ac:dyDescent="0.25">
      <c r="A59" s="37">
        <f t="shared" si="7"/>
        <v>57</v>
      </c>
      <c r="B59" s="40" t="str">
        <f t="array" ref="B59">IF(J59&lt;&gt;"",(IF(K59&lt;&gt;"5",B58,INDEX(Kitaplar!$A$2:$A$20,MATCH(B58,Kitaplar!$A$2:$A$21,0)+1,1))),"")</f>
        <v>Barla Lahikası</v>
      </c>
      <c r="C59" s="37" t="str">
        <f t="shared" si="0"/>
        <v>361 - 384</v>
      </c>
      <c r="D59" s="39" t="str">
        <f>IF(J59&lt;&gt;"",IFERROR(VLOOKUP(J59,AdiSoyadi!$A$2:$E$108,4,0),""),"")</f>
        <v>ÖZCAN4</v>
      </c>
      <c r="J59" t="str">
        <f t="shared" si="1"/>
        <v>G.5N.3</v>
      </c>
      <c r="K59" s="1">
        <f>IF(J59&lt;&gt;"",(IFERROR(IF(VLOOKUP(B58,Kitaplar!$A$2:$C$16,3,0)&gt;L58,L58+1,"5"),"")),"")</f>
        <v>361</v>
      </c>
      <c r="L59" s="1">
        <f>IFERROR(IF((VLOOKUP(B59,Kitaplar!$A$2:$C$27,3,0))-K59&gt;N59,K59+N59,VLOOKUP(B59,Kitaplar!$A$2:$C$27,3,0)),"")</f>
        <v>384</v>
      </c>
      <c r="M59" s="1">
        <v>5</v>
      </c>
      <c r="N59" s="1">
        <f t="shared" si="2"/>
        <v>35</v>
      </c>
      <c r="O59" s="1">
        <f t="shared" si="3"/>
        <v>3</v>
      </c>
    </row>
    <row r="60" spans="1:15" x14ac:dyDescent="0.25">
      <c r="A60" s="37">
        <f t="shared" si="7"/>
        <v>58</v>
      </c>
      <c r="B60" s="40" t="str">
        <f t="array" ref="B60">IF(J60&lt;&gt;"",(IF(K60&lt;&gt;"5",B59,INDEX(Kitaplar!$A$2:$A$20,MATCH(B59,Kitaplar!$A$2:$A$21,0)+1,1))),"")</f>
        <v>Kastamonu Lahikası</v>
      </c>
      <c r="C60" s="37" t="str">
        <f t="shared" si="0"/>
        <v>5 - 40</v>
      </c>
      <c r="D60" s="39" t="str">
        <f>IF(J60&lt;&gt;"",IFERROR(VLOOKUP(J60,AdiSoyadi!$A$2:$E$108,4,0),""),"")</f>
        <v>SERKAN</v>
      </c>
      <c r="J60" t="str">
        <f t="shared" si="1"/>
        <v>G.5N.4</v>
      </c>
      <c r="K60" s="1" t="str">
        <f>IF(J60&lt;&gt;"",(IFERROR(IF(VLOOKUP(B59,Kitaplar!$A$2:$C$16,3,0)&gt;L59,L59+1,"5"),"")),"")</f>
        <v>5</v>
      </c>
      <c r="L60" s="1">
        <f>IFERROR(IF((VLOOKUP(B60,Kitaplar!$A$2:$C$27,3,0))-K60&gt;N60,K60+N60,VLOOKUP(B60,Kitaplar!$A$2:$C$27,3,0)),"")</f>
        <v>40</v>
      </c>
      <c r="M60" s="1">
        <v>5</v>
      </c>
      <c r="N60" s="1">
        <f t="shared" si="2"/>
        <v>35</v>
      </c>
      <c r="O60" s="1">
        <f t="shared" si="3"/>
        <v>4</v>
      </c>
    </row>
    <row r="61" spans="1:15" x14ac:dyDescent="0.25">
      <c r="A61" s="37">
        <f t="shared" si="7"/>
        <v>59</v>
      </c>
      <c r="B61" s="40" t="str">
        <f t="array" ref="B61">IF(J61&lt;&gt;"",(IF(K61&lt;&gt;"5",B60,INDEX(Kitaplar!$A$2:$A$20,MATCH(B60,Kitaplar!$A$2:$A$21,0)+1,1))),"")</f>
        <v>Kastamonu Lahikası</v>
      </c>
      <c r="C61" s="37" t="str">
        <f t="shared" si="0"/>
        <v>41 - 76</v>
      </c>
      <c r="D61" s="39" t="str">
        <f>IF(J61&lt;&gt;"",IFERROR(VLOOKUP(J61,AdiSoyadi!$A$2:$E$108,4,0),""),"")</f>
        <v>HASAN</v>
      </c>
      <c r="J61" t="str">
        <f t="shared" si="1"/>
        <v>G.5N.5</v>
      </c>
      <c r="K61" s="1">
        <f>IF(J61&lt;&gt;"",(IFERROR(IF(VLOOKUP(B60,Kitaplar!$A$2:$C$16,3,0)&gt;L60,L60+1,"5"),"")),"")</f>
        <v>41</v>
      </c>
      <c r="L61" s="1">
        <f>IFERROR(IF((VLOOKUP(B61,Kitaplar!$A$2:$C$27,3,0))-K61&gt;N61,K61+N61,VLOOKUP(B61,Kitaplar!$A$2:$C$27,3,0)),"")</f>
        <v>76</v>
      </c>
      <c r="M61" s="1">
        <v>5</v>
      </c>
      <c r="N61" s="1">
        <f t="shared" si="2"/>
        <v>35</v>
      </c>
      <c r="O61" s="1">
        <f t="shared" si="3"/>
        <v>5</v>
      </c>
    </row>
    <row r="62" spans="1:15" x14ac:dyDescent="0.25">
      <c r="A62" s="37">
        <f t="shared" si="7"/>
        <v>60</v>
      </c>
      <c r="B62" s="40" t="str">
        <f t="array" ref="B62">IF(J62&lt;&gt;"",(IF(K62&lt;&gt;"5",B61,INDEX(Kitaplar!$A$2:$A$20,MATCH(B61,Kitaplar!$A$2:$A$21,0)+1,1))),"")</f>
        <v>Kastamonu Lahikası</v>
      </c>
      <c r="C62" s="37" t="str">
        <f t="shared" si="0"/>
        <v>77 - 112</v>
      </c>
      <c r="D62" s="39" t="str">
        <f>IF(J62&lt;&gt;"",IFERROR(VLOOKUP(J62,AdiSoyadi!$A$2:$E$108,4,0),""),"")</f>
        <v>YUSUF KENAN</v>
      </c>
      <c r="J62" t="str">
        <f t="shared" si="1"/>
        <v>G.5N.6</v>
      </c>
      <c r="K62" s="1">
        <f>IF(J62&lt;&gt;"",(IFERROR(IF(VLOOKUP(B61,Kitaplar!$A$2:$C$16,3,0)&gt;L61,L61+1,"5"),"")),"")</f>
        <v>77</v>
      </c>
      <c r="L62" s="1">
        <f>IFERROR(IF((VLOOKUP(B62,Kitaplar!$A$2:$C$27,3,0))-K62&gt;N62,K62+N62,VLOOKUP(B62,Kitaplar!$A$2:$C$27,3,0)),"")</f>
        <v>112</v>
      </c>
      <c r="M62" s="1">
        <v>5</v>
      </c>
      <c r="N62" s="1">
        <f t="shared" si="2"/>
        <v>35</v>
      </c>
      <c r="O62" s="1">
        <f t="shared" si="3"/>
        <v>6</v>
      </c>
    </row>
    <row r="63" spans="1:15" x14ac:dyDescent="0.25">
      <c r="A63" s="37">
        <f t="shared" si="7"/>
        <v>61</v>
      </c>
      <c r="B63" s="40" t="str">
        <f t="array" ref="B63">IF(J63&lt;&gt;"",(IF(K63&lt;&gt;"5",B62,INDEX(Kitaplar!$A$2:$A$20,MATCH(B62,Kitaplar!$A$2:$A$21,0)+1,1))),"")</f>
        <v>Kastamonu Lahikası</v>
      </c>
      <c r="C63" s="37" t="str">
        <f t="shared" si="0"/>
        <v>113 - 148</v>
      </c>
      <c r="D63" s="39" t="str">
        <f>IF(J63&lt;&gt;"",IFERROR(VLOOKUP(J63,AdiSoyadi!$A$2:$E$108,4,0),""),"")</f>
        <v>ÇETİN</v>
      </c>
      <c r="J63" t="str">
        <f t="shared" si="1"/>
        <v>G.5N.7</v>
      </c>
      <c r="K63" s="1">
        <f>IF(J63&lt;&gt;"",(IFERROR(IF(VLOOKUP(B62,Kitaplar!$A$2:$C$16,3,0)&gt;L62,L62+1,"5"),"")),"")</f>
        <v>113</v>
      </c>
      <c r="L63" s="1">
        <f>IFERROR(IF((VLOOKUP(B63,Kitaplar!$A$2:$C$27,3,0))-K63&gt;N63,K63+N63,VLOOKUP(B63,Kitaplar!$A$2:$C$27,3,0)),"")</f>
        <v>148</v>
      </c>
      <c r="M63" s="1">
        <v>5</v>
      </c>
      <c r="N63" s="1">
        <f t="shared" si="2"/>
        <v>35</v>
      </c>
      <c r="O63" s="1">
        <f t="shared" si="3"/>
        <v>7</v>
      </c>
    </row>
    <row r="64" spans="1:15" x14ac:dyDescent="0.25">
      <c r="A64" s="37">
        <f t="shared" si="7"/>
        <v>62</v>
      </c>
      <c r="B64" s="40" t="str">
        <f t="array" ref="B64">IF(J64&lt;&gt;"",(IF(K64&lt;&gt;"5",B63,INDEX(Kitaplar!$A$2:$A$20,MATCH(B63,Kitaplar!$A$2:$A$21,0)+1,1))),"")</f>
        <v>Kastamonu Lahikası</v>
      </c>
      <c r="C64" s="37" t="str">
        <f t="shared" si="0"/>
        <v>149 - 184</v>
      </c>
      <c r="D64" s="39" t="str">
        <f>IF(J64&lt;&gt;"",IFERROR(VLOOKUP(J64,AdiSoyadi!$A$2:$E$108,4,0),""),"")</f>
        <v>TARKAN</v>
      </c>
      <c r="J64" t="str">
        <f t="shared" si="1"/>
        <v>G.5N.8</v>
      </c>
      <c r="K64" s="1">
        <f>IF(J64&lt;&gt;"",(IFERROR(IF(VLOOKUP(B63,Kitaplar!$A$2:$C$16,3,0)&gt;L63,L63+1,"5"),"")),"")</f>
        <v>149</v>
      </c>
      <c r="L64" s="1">
        <f>IFERROR(IF((VLOOKUP(B64,Kitaplar!$A$2:$C$27,3,0))-K64&gt;N64,K64+N64,VLOOKUP(B64,Kitaplar!$A$2:$C$27,3,0)),"")</f>
        <v>184</v>
      </c>
      <c r="M64" s="1">
        <v>5</v>
      </c>
      <c r="N64" s="1">
        <f t="shared" si="2"/>
        <v>35</v>
      </c>
      <c r="O64" s="1">
        <f t="shared" si="3"/>
        <v>8</v>
      </c>
    </row>
    <row r="65" spans="1:15" x14ac:dyDescent="0.25">
      <c r="A65" s="37">
        <f t="shared" si="7"/>
        <v>63</v>
      </c>
      <c r="B65" s="40" t="str">
        <f t="array" ref="B65">IF(J65&lt;&gt;"",(IF(K65&lt;&gt;"5",B64,INDEX(Kitaplar!$A$2:$A$20,MATCH(B64,Kitaplar!$A$2:$A$21,0)+1,1))),"")</f>
        <v>Kastamonu Lahikası</v>
      </c>
      <c r="C65" s="37" t="str">
        <f t="shared" si="0"/>
        <v>185 - 220</v>
      </c>
      <c r="D65" s="39" t="str">
        <f>IF(J65&lt;&gt;"",IFERROR(VLOOKUP(J65,AdiSoyadi!$A$2:$E$108,4,0),""),"")</f>
        <v>MEHMET</v>
      </c>
      <c r="J65" t="str">
        <f t="shared" si="1"/>
        <v>G.5N.9</v>
      </c>
      <c r="K65" s="1">
        <f>IF(J65&lt;&gt;"",(IFERROR(IF(VLOOKUP(B64,Kitaplar!$A$2:$C$16,3,0)&gt;L64,L64+1,"5"),"")),"")</f>
        <v>185</v>
      </c>
      <c r="L65" s="1">
        <f>IFERROR(IF((VLOOKUP(B65,Kitaplar!$A$2:$C$27,3,0))-K65&gt;N65,K65+N65,VLOOKUP(B65,Kitaplar!$A$2:$C$27,3,0)),"")</f>
        <v>220</v>
      </c>
      <c r="M65" s="1">
        <v>5</v>
      </c>
      <c r="N65" s="1">
        <f t="shared" si="2"/>
        <v>35</v>
      </c>
      <c r="O65" s="1">
        <f t="shared" si="3"/>
        <v>9</v>
      </c>
    </row>
    <row r="66" spans="1:15" x14ac:dyDescent="0.25">
      <c r="A66" s="37">
        <f t="shared" si="7"/>
        <v>64</v>
      </c>
      <c r="B66" s="40" t="str">
        <f t="array" ref="B66">IF(J66&lt;&gt;"",(IF(K66&lt;&gt;"5",B65,INDEX(Kitaplar!$A$2:$A$20,MATCH(B65,Kitaplar!$A$2:$A$21,0)+1,1))),"")</f>
        <v>Kastamonu Lahikası</v>
      </c>
      <c r="C66" s="37" t="str">
        <f t="shared" si="0"/>
        <v>221 - 256</v>
      </c>
      <c r="D66" s="39" t="str">
        <f>IF(J66&lt;&gt;"",IFERROR(VLOOKUP(J66,AdiSoyadi!$A$2:$E$108,4,0),""),"")</f>
        <v>ERGÜN</v>
      </c>
      <c r="J66" t="str">
        <f t="shared" si="1"/>
        <v>G.5N.10</v>
      </c>
      <c r="K66" s="1">
        <f>IF(J66&lt;&gt;"",(IFERROR(IF(VLOOKUP(B65,Kitaplar!$A$2:$C$16,3,0)&gt;L65,L65+1,"5"),"")),"")</f>
        <v>221</v>
      </c>
      <c r="L66" s="1">
        <f>IFERROR(IF((VLOOKUP(B66,Kitaplar!$A$2:$C$27,3,0))-K66&gt;N66,K66+N66,VLOOKUP(B66,Kitaplar!$A$2:$C$27,3,0)),"")</f>
        <v>256</v>
      </c>
      <c r="M66" s="1">
        <v>5</v>
      </c>
      <c r="N66" s="1">
        <f t="shared" si="2"/>
        <v>35</v>
      </c>
      <c r="O66" s="1">
        <f t="shared" si="3"/>
        <v>10</v>
      </c>
    </row>
    <row r="67" spans="1:15" x14ac:dyDescent="0.25">
      <c r="A67" s="37">
        <f t="shared" si="7"/>
        <v>65</v>
      </c>
      <c r="B67" s="40" t="str">
        <f t="array" ref="B67">IF(J67&lt;&gt;"",(IF(K67&lt;&gt;"5",B66,INDEX(Kitaplar!$A$2:$A$20,MATCH(B66,Kitaplar!$A$2:$A$21,0)+1,1))),"")</f>
        <v>Kastamonu Lahikası</v>
      </c>
      <c r="C67" s="37" t="str">
        <f t="shared" si="0"/>
        <v>257 - 268</v>
      </c>
      <c r="D67" s="39" t="str">
        <f>IF(J67&lt;&gt;"",IFERROR(VLOOKUP(J67,AdiSoyadi!$A$2:$E$108,4,0),""),"")</f>
        <v>KENAN AHMET</v>
      </c>
      <c r="J67" t="str">
        <f t="shared" si="1"/>
        <v>G.5N.11</v>
      </c>
      <c r="K67" s="1">
        <f>IF(J67&lt;&gt;"",(IFERROR(IF(VLOOKUP(B66,Kitaplar!$A$2:$C$16,3,0)&gt;L66,L66+1,"5"),"")),"")</f>
        <v>257</v>
      </c>
      <c r="L67" s="1">
        <f>IFERROR(IF((VLOOKUP(B67,Kitaplar!$A$2:$C$27,3,0))-K67&gt;N67,K67+N67,VLOOKUP(B67,Kitaplar!$A$2:$C$27,3,0)),"")</f>
        <v>268</v>
      </c>
      <c r="M67" s="1">
        <v>5</v>
      </c>
      <c r="N67" s="1">
        <f t="shared" si="2"/>
        <v>35</v>
      </c>
      <c r="O67" s="1">
        <f t="shared" si="3"/>
        <v>11</v>
      </c>
    </row>
    <row r="68" spans="1:15" x14ac:dyDescent="0.25">
      <c r="A68" s="37">
        <f t="shared" si="7"/>
        <v>66</v>
      </c>
      <c r="B68" s="40" t="str">
        <f t="array" ref="B68">IF(J68&lt;&gt;"",(IF(K68&lt;&gt;"5",B67,INDEX(Kitaplar!$A$2:$A$20,MATCH(B67,Kitaplar!$A$2:$A$21,0)+1,1))),"")</f>
        <v>Emirdağ Lahikası -I</v>
      </c>
      <c r="C68" s="37" t="str">
        <f t="shared" ref="C68:C102" si="8">IF(J68&lt;&gt;"",K68&amp;" - "&amp;L68,"")</f>
        <v>5 - 40</v>
      </c>
      <c r="D68" s="39" t="str">
        <f>IF(J68&lt;&gt;"",IFERROR(VLOOKUP(J68,AdiSoyadi!$A$2:$E$108,4,0),""),"")</f>
        <v>URAL</v>
      </c>
      <c r="J68" t="str">
        <f t="shared" ref="J68:J102" si="9">IF(M68="","","G."&amp;M68&amp;"N."&amp;O68)</f>
        <v>G.5N.12</v>
      </c>
      <c r="K68" s="1" t="str">
        <f>IF(J68&lt;&gt;"",(IFERROR(IF(VLOOKUP(B67,Kitaplar!$A$2:$C$16,3,0)&gt;L67,L67+1,"5"),"")),"")</f>
        <v>5</v>
      </c>
      <c r="L68" s="1">
        <f>IFERROR(IF((VLOOKUP(B68,Kitaplar!$A$2:$C$27,3,0))-K68&gt;N68,K68+N68,VLOOKUP(B68,Kitaplar!$A$2:$C$27,3,0)),"")</f>
        <v>40</v>
      </c>
      <c r="M68" s="1">
        <v>5</v>
      </c>
      <c r="N68" s="1">
        <f t="shared" ref="N68:N86" si="10">IF(M68&lt;&gt;"",M68*7,"")</f>
        <v>35</v>
      </c>
      <c r="O68" s="1">
        <f t="shared" ref="O68:O86" si="11">IF(M68="","",IF(M67=M68,O67+1,1))</f>
        <v>12</v>
      </c>
    </row>
    <row r="69" spans="1:15" x14ac:dyDescent="0.25">
      <c r="A69" s="37">
        <f t="shared" si="7"/>
        <v>67</v>
      </c>
      <c r="B69" s="40" t="str">
        <f t="array" ref="B69">IF(J69&lt;&gt;"",(IF(K69&lt;&gt;"5",B68,INDEX(Kitaplar!$A$2:$A$20,MATCH(B68,Kitaplar!$A$2:$A$21,0)+1,1))),"")</f>
        <v>Emirdağ Lahikası -I</v>
      </c>
      <c r="C69" s="37" t="str">
        <f t="shared" si="8"/>
        <v>41 - 76</v>
      </c>
      <c r="D69" s="39" t="str">
        <f>IF(J69&lt;&gt;"",IFERROR(VLOOKUP(J69,AdiSoyadi!$A$2:$E$108,4,0),""),"")</f>
        <v>YAHYA</v>
      </c>
      <c r="J69" t="str">
        <f t="shared" si="9"/>
        <v>G.5N.13</v>
      </c>
      <c r="K69" s="1">
        <f>IF(J69&lt;&gt;"",(IFERROR(IF(VLOOKUP(B68,Kitaplar!$A$2:$C$16,3,0)&gt;L68,L68+1,"5"),"")),"")</f>
        <v>41</v>
      </c>
      <c r="L69" s="1">
        <f>IFERROR(IF((VLOOKUP(B69,Kitaplar!$A$2:$C$27,3,0))-K69&gt;N69,K69+N69,VLOOKUP(B69,Kitaplar!$A$2:$C$27,3,0)),"")</f>
        <v>76</v>
      </c>
      <c r="M69" s="1">
        <v>5</v>
      </c>
      <c r="N69" s="1">
        <f t="shared" si="10"/>
        <v>35</v>
      </c>
      <c r="O69" s="1">
        <f t="shared" si="11"/>
        <v>13</v>
      </c>
    </row>
    <row r="70" spans="1:15" x14ac:dyDescent="0.25">
      <c r="A70" s="37">
        <f t="shared" si="7"/>
        <v>68</v>
      </c>
      <c r="B70" s="40" t="str">
        <f t="array" ref="B70">IF(J70&lt;&gt;"",(IF(K70&lt;&gt;"5",B69,INDEX(Kitaplar!$A$2:$A$20,MATCH(B69,Kitaplar!$A$2:$A$21,0)+1,1))),"")</f>
        <v>Emirdağ Lahikası -I</v>
      </c>
      <c r="C70" s="37" t="str">
        <f t="shared" si="8"/>
        <v>77 - 112</v>
      </c>
      <c r="D70" s="39" t="str">
        <f>IF(J70&lt;&gt;"",IFERROR(VLOOKUP(J70,AdiSoyadi!$A$2:$E$108,4,0),""),"")</f>
        <v>ALİ</v>
      </c>
      <c r="J70" t="str">
        <f t="shared" si="9"/>
        <v>G.5N.14</v>
      </c>
      <c r="K70" s="1">
        <f>IF(J70&lt;&gt;"",(IFERROR(IF(VLOOKUP(B69,Kitaplar!$A$2:$C$16,3,0)&gt;L69,L69+1,"5"),"")),"")</f>
        <v>77</v>
      </c>
      <c r="L70" s="1">
        <f>IFERROR(IF((VLOOKUP(B70,Kitaplar!$A$2:$C$27,3,0))-K70&gt;N70,K70+N70,VLOOKUP(B70,Kitaplar!$A$2:$C$27,3,0)),"")</f>
        <v>112</v>
      </c>
      <c r="M70" s="1">
        <v>5</v>
      </c>
      <c r="N70" s="1">
        <f t="shared" si="10"/>
        <v>35</v>
      </c>
      <c r="O70" s="1">
        <f t="shared" si="11"/>
        <v>14</v>
      </c>
    </row>
    <row r="71" spans="1:15" x14ac:dyDescent="0.25">
      <c r="A71" s="37">
        <f t="shared" si="7"/>
        <v>69</v>
      </c>
      <c r="B71" s="40" t="str">
        <f t="array" ref="B71">IF(J71&lt;&gt;"",(IF(K71&lt;&gt;"5",B70,INDEX(Kitaplar!$A$2:$A$20,MATCH(B70,Kitaplar!$A$2:$A$21,0)+1,1))),"")</f>
        <v>Emirdağ Lahikası -I</v>
      </c>
      <c r="C71" s="37" t="str">
        <f t="shared" si="8"/>
        <v>113 - 148</v>
      </c>
      <c r="D71" s="39" t="str">
        <f>IF(J71&lt;&gt;"",IFERROR(VLOOKUP(J71,AdiSoyadi!$A$2:$E$108,4,0),""),"")</f>
        <v>FATİH NAZMİ</v>
      </c>
      <c r="J71" t="str">
        <f t="shared" si="9"/>
        <v>G.5N.15</v>
      </c>
      <c r="K71" s="1">
        <f>IF(J71&lt;&gt;"",(IFERROR(IF(VLOOKUP(B70,Kitaplar!$A$2:$C$16,3,0)&gt;L70,L70+1,"5"),"")),"")</f>
        <v>113</v>
      </c>
      <c r="L71" s="1">
        <f>IFERROR(IF((VLOOKUP(B71,Kitaplar!$A$2:$C$27,3,0))-K71&gt;N71,K71+N71,VLOOKUP(B71,Kitaplar!$A$2:$C$27,3,0)),"")</f>
        <v>148</v>
      </c>
      <c r="M71" s="1">
        <v>5</v>
      </c>
      <c r="N71" s="1">
        <f t="shared" si="10"/>
        <v>35</v>
      </c>
      <c r="O71" s="1">
        <f t="shared" si="11"/>
        <v>15</v>
      </c>
    </row>
    <row r="72" spans="1:15" x14ac:dyDescent="0.25">
      <c r="A72" s="37">
        <f t="shared" si="7"/>
        <v>70</v>
      </c>
      <c r="B72" s="40" t="str">
        <f t="array" ref="B72">IF(J72&lt;&gt;"",(IF(K72&lt;&gt;"5",B71,INDEX(Kitaplar!$A$2:$A$20,MATCH(B71,Kitaplar!$A$2:$A$21,0)+1,1))),"")</f>
        <v>Emirdağ Lahikası -I</v>
      </c>
      <c r="C72" s="37" t="str">
        <f t="shared" si="8"/>
        <v>149 - 184</v>
      </c>
      <c r="D72" s="39" t="str">
        <f>IF(J72&lt;&gt;"",IFERROR(VLOOKUP(J72,AdiSoyadi!$A$2:$E$108,4,0),""),"")</f>
        <v>FATİH</v>
      </c>
      <c r="J72" t="str">
        <f t="shared" si="9"/>
        <v>G.5N.16</v>
      </c>
      <c r="K72" s="1">
        <f>IF(J72&lt;&gt;"",(IFERROR(IF(VLOOKUP(B71,Kitaplar!$A$2:$C$16,3,0)&gt;L71,L71+1,"5"),"")),"")</f>
        <v>149</v>
      </c>
      <c r="L72" s="1">
        <f>IFERROR(IF((VLOOKUP(B72,Kitaplar!$A$2:$C$27,3,0))-K72&gt;N72,K72+N72,VLOOKUP(B72,Kitaplar!$A$2:$C$27,3,0)),"")</f>
        <v>184</v>
      </c>
      <c r="M72" s="1">
        <v>5</v>
      </c>
      <c r="N72" s="1">
        <f t="shared" si="10"/>
        <v>35</v>
      </c>
      <c r="O72" s="1">
        <f t="shared" si="11"/>
        <v>16</v>
      </c>
    </row>
    <row r="73" spans="1:15" x14ac:dyDescent="0.25">
      <c r="A73" s="37">
        <f t="shared" si="7"/>
        <v>71</v>
      </c>
      <c r="B73" s="40" t="str">
        <f t="array" ref="B73">IF(J73&lt;&gt;"",(IF(K73&lt;&gt;"5",B72,INDEX(Kitaplar!$A$2:$A$20,MATCH(B72,Kitaplar!$A$2:$A$21,0)+1,1))),"")</f>
        <v>Emirdağ Lahikası -I</v>
      </c>
      <c r="C73" s="37" t="str">
        <f t="shared" si="8"/>
        <v>185 - 220</v>
      </c>
      <c r="D73" s="39" t="str">
        <f>IF(J73&lt;&gt;"",IFERROR(VLOOKUP(J73,AdiSoyadi!$A$2:$E$108,4,0),""),"")</f>
        <v>MEHMET</v>
      </c>
      <c r="J73" t="str">
        <f t="shared" si="9"/>
        <v>G.5N.17</v>
      </c>
      <c r="K73" s="1">
        <f>IF(J73&lt;&gt;"",(IFERROR(IF(VLOOKUP(B72,Kitaplar!$A$2:$C$16,3,0)&gt;L72,L72+1,"5"),"")),"")</f>
        <v>185</v>
      </c>
      <c r="L73" s="1">
        <f>IFERROR(IF((VLOOKUP(B73,Kitaplar!$A$2:$C$27,3,0))-K73&gt;N73,K73+N73,VLOOKUP(B73,Kitaplar!$A$2:$C$27,3,0)),"")</f>
        <v>220</v>
      </c>
      <c r="M73" s="1">
        <v>5</v>
      </c>
      <c r="N73" s="1">
        <f t="shared" si="10"/>
        <v>35</v>
      </c>
      <c r="O73" s="1">
        <f t="shared" si="11"/>
        <v>17</v>
      </c>
    </row>
    <row r="74" spans="1:15" x14ac:dyDescent="0.25">
      <c r="A74" s="37">
        <f t="shared" si="7"/>
        <v>72</v>
      </c>
      <c r="B74" s="40" t="str">
        <f t="array" ref="B74">IF(J74&lt;&gt;"",(IF(K74&lt;&gt;"5",B73,INDEX(Kitaplar!$A$2:$A$20,MATCH(B73,Kitaplar!$A$2:$A$21,0)+1,1))),"")</f>
        <v>Emirdağ Lahikası -I</v>
      </c>
      <c r="C74" s="37" t="str">
        <f t="shared" si="8"/>
        <v>221 - 256</v>
      </c>
      <c r="D74" s="39" t="str">
        <f>IF(J74&lt;&gt;"",IFERROR(VLOOKUP(J74,AdiSoyadi!$A$2:$E$108,4,0),""),"")</f>
        <v>TUFAN AKIN</v>
      </c>
      <c r="J74" t="str">
        <f t="shared" si="9"/>
        <v>G.5N.18</v>
      </c>
      <c r="K74" s="1">
        <f>IF(J74&lt;&gt;"",(IFERROR(IF(VLOOKUP(B73,Kitaplar!$A$2:$C$16,3,0)&gt;L73,L73+1,"5"),"")),"")</f>
        <v>221</v>
      </c>
      <c r="L74" s="1">
        <f>IFERROR(IF((VLOOKUP(B74,Kitaplar!$A$2:$C$27,3,0))-K74&gt;N74,K74+N74,VLOOKUP(B74,Kitaplar!$A$2:$C$27,3,0)),"")</f>
        <v>256</v>
      </c>
      <c r="M74" s="1">
        <v>5</v>
      </c>
      <c r="N74" s="1">
        <f t="shared" si="10"/>
        <v>35</v>
      </c>
      <c r="O74" s="1">
        <f t="shared" si="11"/>
        <v>18</v>
      </c>
    </row>
    <row r="75" spans="1:15" x14ac:dyDescent="0.25">
      <c r="A75" s="37">
        <f t="shared" si="7"/>
        <v>73</v>
      </c>
      <c r="B75" s="40" t="str">
        <f t="array" ref="B75">IF(J75&lt;&gt;"",(IF(K75&lt;&gt;"5",B74,INDEX(Kitaplar!$A$2:$A$20,MATCH(B74,Kitaplar!$A$2:$A$21,0)+1,1))),"")</f>
        <v>Emirdağ Lahikası -I</v>
      </c>
      <c r="C75" s="37" t="str">
        <f t="shared" si="8"/>
        <v>257 - 288</v>
      </c>
      <c r="D75" s="39" t="str">
        <f>IF(J75&lt;&gt;"",IFERROR(VLOOKUP(J75,AdiSoyadi!$A$2:$E$108,4,0),""),"")</f>
        <v>MEHMET</v>
      </c>
      <c r="J75" t="str">
        <f t="shared" si="9"/>
        <v>G.5N.19</v>
      </c>
      <c r="K75" s="1">
        <f>IF(J75&lt;&gt;"",(IFERROR(IF(VLOOKUP(B74,Kitaplar!$A$2:$C$16,3,0)&gt;L74,L74+1,"5"),"")),"")</f>
        <v>257</v>
      </c>
      <c r="L75" s="1">
        <f>IFERROR(IF((VLOOKUP(B75,Kitaplar!$A$2:$C$27,3,0))-K75&gt;N75,K75+N75,VLOOKUP(B75,Kitaplar!$A$2:$C$27,3,0)),"")</f>
        <v>288</v>
      </c>
      <c r="M75" s="1">
        <v>5</v>
      </c>
      <c r="N75" s="1">
        <f t="shared" si="10"/>
        <v>35</v>
      </c>
      <c r="O75" s="1">
        <f t="shared" si="11"/>
        <v>19</v>
      </c>
    </row>
    <row r="76" spans="1:15" x14ac:dyDescent="0.25">
      <c r="A76" s="37">
        <f t="shared" si="7"/>
        <v>74</v>
      </c>
      <c r="B76" s="40" t="str">
        <f t="array" ref="B76">IF(J76&lt;&gt;"",(IF(K76&lt;&gt;"5",B75,INDEX(Kitaplar!$A$2:$A$20,MATCH(B75,Kitaplar!$A$2:$A$21,0)+1,1))),"")</f>
        <v>Emirdağ Lahikası -II</v>
      </c>
      <c r="C76" s="37" t="str">
        <f t="shared" si="8"/>
        <v>5 - 40</v>
      </c>
      <c r="D76" s="39" t="str">
        <f>IF(J76&lt;&gt;"",IFERROR(VLOOKUP(J76,AdiSoyadi!$A$2:$E$108,4,0),""),"")</f>
        <v>TURGAY YILMAZ</v>
      </c>
      <c r="J76" t="str">
        <f t="shared" si="9"/>
        <v>G.5N.20</v>
      </c>
      <c r="K76" s="1" t="str">
        <f>IF(J76&lt;&gt;"",(IFERROR(IF(VLOOKUP(B75,Kitaplar!$A$2:$C$16,3,0)&gt;L75,L75+1,"5"),"")),"")</f>
        <v>5</v>
      </c>
      <c r="L76" s="1">
        <f>IFERROR(IF((VLOOKUP(B76,Kitaplar!$A$2:$C$27,3,0))-K76&gt;N76,K76+N76,VLOOKUP(B76,Kitaplar!$A$2:$C$27,3,0)),"")</f>
        <v>40</v>
      </c>
      <c r="M76" s="1">
        <v>5</v>
      </c>
      <c r="N76" s="1">
        <f t="shared" si="10"/>
        <v>35</v>
      </c>
      <c r="O76" s="1">
        <f t="shared" si="11"/>
        <v>20</v>
      </c>
    </row>
    <row r="77" spans="1:15" x14ac:dyDescent="0.25">
      <c r="A77" s="37">
        <f t="shared" si="7"/>
        <v>75</v>
      </c>
      <c r="B77" s="40" t="str">
        <f t="array" ref="B77">IF(J77&lt;&gt;"",(IF(K77&lt;&gt;"5",B76,INDEX(Kitaplar!$A$2:$A$20,MATCH(B76,Kitaplar!$A$2:$A$21,0)+1,1))),"")</f>
        <v>Emirdağ Lahikası -II</v>
      </c>
      <c r="C77" s="37" t="str">
        <f t="shared" si="8"/>
        <v>41 - 76</v>
      </c>
      <c r="D77" s="39" t="str">
        <f>IF(J77&lt;&gt;"",IFERROR(VLOOKUP(J77,AdiSoyadi!$A$2:$E$108,4,0),""),"")</f>
        <v>HACI</v>
      </c>
      <c r="J77" t="str">
        <f t="shared" si="9"/>
        <v>G.5N.21</v>
      </c>
      <c r="K77" s="1">
        <f>IF(J77&lt;&gt;"",(IFERROR(IF(VLOOKUP(B76,Kitaplar!$A$2:$C$16,3,0)&gt;L76,L76+1,"5"),"")),"")</f>
        <v>41</v>
      </c>
      <c r="L77" s="1">
        <f>IFERROR(IF((VLOOKUP(B77,Kitaplar!$A$2:$C$27,3,0))-K77&gt;N77,K77+N77,VLOOKUP(B77,Kitaplar!$A$2:$C$27,3,0)),"")</f>
        <v>76</v>
      </c>
      <c r="M77" s="1">
        <v>5</v>
      </c>
      <c r="N77" s="1">
        <f t="shared" si="10"/>
        <v>35</v>
      </c>
      <c r="O77" s="1">
        <f t="shared" si="11"/>
        <v>21</v>
      </c>
    </row>
    <row r="78" spans="1:15" x14ac:dyDescent="0.25">
      <c r="A78" s="37">
        <f t="shared" si="7"/>
        <v>76</v>
      </c>
      <c r="B78" s="40" t="str">
        <f t="array" ref="B78">IF(J78&lt;&gt;"",(IF(K78&lt;&gt;"5",B77,INDEX(Kitaplar!$A$2:$A$20,MATCH(B77,Kitaplar!$A$2:$A$21,0)+1,1))),"")</f>
        <v>Emirdağ Lahikası -II</v>
      </c>
      <c r="C78" s="37" t="str">
        <f t="shared" si="8"/>
        <v>77 - 112</v>
      </c>
      <c r="D78" s="39" t="str">
        <f>IF(J78&lt;&gt;"",IFERROR(VLOOKUP(J78,AdiSoyadi!$A$2:$E$108,4,0),""),"")</f>
        <v>GÖKMEN</v>
      </c>
      <c r="J78" t="str">
        <f t="shared" si="9"/>
        <v>G.5N.22</v>
      </c>
      <c r="K78" s="1">
        <f>IF(J78&lt;&gt;"",(IFERROR(IF(VLOOKUP(B77,Kitaplar!$A$2:$C$16,3,0)&gt;L77,L77+1,"5"),"")),"")</f>
        <v>77</v>
      </c>
      <c r="L78" s="1">
        <f>IFERROR(IF((VLOOKUP(B78,Kitaplar!$A$2:$C$27,3,0))-K78&gt;N78,K78+N78,VLOOKUP(B78,Kitaplar!$A$2:$C$27,3,0)),"")</f>
        <v>112</v>
      </c>
      <c r="M78" s="1">
        <v>5</v>
      </c>
      <c r="N78" s="1">
        <f t="shared" si="10"/>
        <v>35</v>
      </c>
      <c r="O78" s="1">
        <f t="shared" si="11"/>
        <v>22</v>
      </c>
    </row>
    <row r="79" spans="1:15" x14ac:dyDescent="0.25">
      <c r="A79" s="37">
        <f t="shared" si="7"/>
        <v>77</v>
      </c>
      <c r="B79" s="40" t="str">
        <f t="array" ref="B79">IF(J79&lt;&gt;"",(IF(K79&lt;&gt;"5",B78,INDEX(Kitaplar!$A$2:$A$20,MATCH(B78,Kitaplar!$A$2:$A$21,0)+1,1))),"")</f>
        <v>Emirdağ Lahikası -II</v>
      </c>
      <c r="C79" s="37" t="str">
        <f t="shared" si="8"/>
        <v>113 - 148</v>
      </c>
      <c r="D79" s="39" t="str">
        <f>IF(J79&lt;&gt;"",IFERROR(VLOOKUP(J79,AdiSoyadi!$A$2:$E$108,4,0),""),"")</f>
        <v>BÜLENT</v>
      </c>
      <c r="J79" t="str">
        <f t="shared" si="9"/>
        <v>G.5N.23</v>
      </c>
      <c r="K79" s="1">
        <f>IF(J79&lt;&gt;"",(IFERROR(IF(VLOOKUP(B78,Kitaplar!$A$2:$C$16,3,0)&gt;L78,L78+1,"5"),"")),"")</f>
        <v>113</v>
      </c>
      <c r="L79" s="1">
        <f>IFERROR(IF((VLOOKUP(B79,Kitaplar!$A$2:$C$27,3,0))-K79&gt;N79,K79+N79,VLOOKUP(B79,Kitaplar!$A$2:$C$27,3,0)),"")</f>
        <v>148</v>
      </c>
      <c r="M79" s="1">
        <v>5</v>
      </c>
      <c r="N79" s="1">
        <f t="shared" si="10"/>
        <v>35</v>
      </c>
      <c r="O79" s="1">
        <f t="shared" si="11"/>
        <v>23</v>
      </c>
    </row>
    <row r="80" spans="1:15" x14ac:dyDescent="0.25">
      <c r="A80" s="37" t="str">
        <f t="shared" si="7"/>
        <v/>
      </c>
      <c r="B80" s="40" t="str">
        <f t="array" ref="B80">IF(J80&lt;&gt;"",(IF(K80&lt;&gt;"5",B79,INDEX(Kitaplar!$A$2:$A$20,MATCH(B79,Kitaplar!$A$2:$A$21,0)+1,1))),"")</f>
        <v/>
      </c>
      <c r="C80" s="37" t="str">
        <f t="shared" si="8"/>
        <v/>
      </c>
      <c r="D80" s="39" t="str">
        <f>IF(J80&lt;&gt;"",IFERROR(VLOOKUP(J80,AdiSoyadi!$A$2:$E$108,4,0),""),"")</f>
        <v/>
      </c>
      <c r="J80" t="str">
        <f t="shared" si="9"/>
        <v/>
      </c>
      <c r="K80" s="1" t="str">
        <f>IF(J80&lt;&gt;"",(IFERROR(IF(VLOOKUP(B79,Kitaplar!$A$2:$C$16,3,0)&gt;L79,L79+1,"5"),"")),"")</f>
        <v/>
      </c>
      <c r="L80" s="1" t="str">
        <f>IFERROR(IF((VLOOKUP(B80,Kitaplar!$A$2:$C$27,3,0))-K80&gt;N80,K80+N80,VLOOKUP(B80,Kitaplar!$A$2:$C$27,3,0)),"")</f>
        <v/>
      </c>
      <c r="N80" s="1" t="str">
        <f t="shared" si="10"/>
        <v/>
      </c>
      <c r="O80" s="1" t="str">
        <f t="shared" si="11"/>
        <v/>
      </c>
    </row>
    <row r="81" spans="1:15" x14ac:dyDescent="0.25">
      <c r="A81" s="37" t="str">
        <f t="shared" si="7"/>
        <v/>
      </c>
      <c r="B81" s="40" t="str">
        <f t="array" ref="B81">IF(J81&lt;&gt;"",(IF(K81&lt;&gt;"5",B80,INDEX(Kitaplar!$A$2:$A$20,MATCH(B80,Kitaplar!$A$2:$A$21,0)+1,1))),"")</f>
        <v/>
      </c>
      <c r="C81" s="37" t="str">
        <f t="shared" si="8"/>
        <v/>
      </c>
      <c r="D81" s="39" t="str">
        <f>IF(J81&lt;&gt;"",IFERROR(VLOOKUP(J81,AdiSoyadi!$A$2:$E$108,4,0),""),"")</f>
        <v/>
      </c>
      <c r="J81" t="str">
        <f t="shared" si="9"/>
        <v/>
      </c>
      <c r="K81" s="1" t="str">
        <f>IF(J81&lt;&gt;"",(IFERROR(IF(VLOOKUP(B80,Kitaplar!$A$2:$C$16,3,0)&gt;L80,L80+1,"5"),"")),"")</f>
        <v/>
      </c>
      <c r="L81" s="1" t="str">
        <f>IFERROR(IF((VLOOKUP(B81,Kitaplar!$A$2:$C$27,3,0))-K81&gt;N81,K81+N81,VLOOKUP(B81,Kitaplar!$A$2:$C$27,3,0)),"")</f>
        <v/>
      </c>
      <c r="N81" s="1" t="str">
        <f t="shared" si="10"/>
        <v/>
      </c>
      <c r="O81" s="1" t="str">
        <f t="shared" si="11"/>
        <v/>
      </c>
    </row>
    <row r="82" spans="1:15" x14ac:dyDescent="0.25">
      <c r="A82" s="37" t="str">
        <f t="shared" si="7"/>
        <v/>
      </c>
      <c r="B82" s="40" t="str">
        <f t="array" ref="B82">IF(J82&lt;&gt;"",(IF(K82&lt;&gt;"5",B81,INDEX(Kitaplar!$A$2:$A$20,MATCH(B81,Kitaplar!$A$2:$A$21,0)+1,1))),"")</f>
        <v/>
      </c>
      <c r="C82" s="37" t="str">
        <f t="shared" si="8"/>
        <v/>
      </c>
      <c r="D82" s="39" t="str">
        <f>IF(J82&lt;&gt;"",IFERROR(VLOOKUP(J82,AdiSoyadi!$A$2:$E$108,4,0),""),"")</f>
        <v/>
      </c>
      <c r="J82" t="str">
        <f t="shared" si="9"/>
        <v/>
      </c>
      <c r="K82" s="1" t="str">
        <f>IF(J82&lt;&gt;"",(IFERROR(IF(VLOOKUP(B81,Kitaplar!$A$2:$C$16,3,0)&gt;L81,L81+1,"5"),"")),"")</f>
        <v/>
      </c>
      <c r="L82" s="1" t="str">
        <f>IFERROR(IF((VLOOKUP(B82,Kitaplar!$A$2:$C$27,3,0))-K82&gt;N82,K82+N82,VLOOKUP(B82,Kitaplar!$A$2:$C$27,3,0)),"")</f>
        <v/>
      </c>
      <c r="N82" s="1" t="str">
        <f t="shared" si="10"/>
        <v/>
      </c>
      <c r="O82" s="1" t="str">
        <f t="shared" si="11"/>
        <v/>
      </c>
    </row>
    <row r="83" spans="1:15" x14ac:dyDescent="0.25">
      <c r="A83" s="37" t="str">
        <f t="shared" si="7"/>
        <v/>
      </c>
      <c r="B83" s="40" t="str">
        <f t="array" ref="B83">IF(J83&lt;&gt;"",(IF(K83&lt;&gt;"5",B82,INDEX(Kitaplar!$A$2:$A$20,MATCH(B82,Kitaplar!$A$2:$A$21,0)+1,1))),"")</f>
        <v/>
      </c>
      <c r="C83" s="37" t="str">
        <f t="shared" si="8"/>
        <v/>
      </c>
      <c r="D83" s="39" t="str">
        <f>IF(J83&lt;&gt;"",IFERROR(VLOOKUP(J83,AdiSoyadi!$A$2:$E$108,4,0),""),"")</f>
        <v/>
      </c>
      <c r="J83" t="str">
        <f t="shared" si="9"/>
        <v/>
      </c>
      <c r="K83" s="1" t="str">
        <f>IF(J83&lt;&gt;"",(IFERROR(IF(VLOOKUP(B82,Kitaplar!$A$2:$C$16,3,0)&gt;L82,L82+1,"5"),"")),"")</f>
        <v/>
      </c>
      <c r="L83" s="1" t="str">
        <f>IFERROR(IF((VLOOKUP(B83,Kitaplar!$A$2:$C$27,3,0))-K83&gt;N83,K83+N83,VLOOKUP(B83,Kitaplar!$A$2:$C$27,3,0)),"")</f>
        <v/>
      </c>
      <c r="N83" s="1" t="str">
        <f t="shared" si="10"/>
        <v/>
      </c>
      <c r="O83" s="1" t="str">
        <f t="shared" si="11"/>
        <v/>
      </c>
    </row>
    <row r="84" spans="1:15" x14ac:dyDescent="0.25">
      <c r="A84" s="37" t="str">
        <f t="shared" si="7"/>
        <v/>
      </c>
      <c r="B84" s="40" t="str">
        <f t="array" ref="B84">IF(J84&lt;&gt;"",(IF(K84&lt;&gt;"5",B83,INDEX(Kitaplar!$A$2:$A$20,MATCH(B83,Kitaplar!$A$2:$A$21,0)+1,1))),"")</f>
        <v/>
      </c>
      <c r="C84" s="37" t="str">
        <f t="shared" si="8"/>
        <v/>
      </c>
      <c r="D84" s="39" t="str">
        <f>IF(J84&lt;&gt;"",IFERROR(VLOOKUP(J84,AdiSoyadi!$A$2:$E$108,4,0),""),"")</f>
        <v/>
      </c>
      <c r="J84" t="str">
        <f t="shared" si="9"/>
        <v/>
      </c>
      <c r="K84" s="1" t="str">
        <f>IF(J84&lt;&gt;"",(IFERROR(IF(VLOOKUP(B83,Kitaplar!$A$2:$C$16,3,0)&gt;L83,L83+1,"5"),"")),"")</f>
        <v/>
      </c>
      <c r="L84" s="1" t="str">
        <f>IFERROR(IF((VLOOKUP(B84,Kitaplar!$A$2:$C$27,3,0))-K84&gt;N84,K84+N84,VLOOKUP(B84,Kitaplar!$A$2:$C$27,3,0)),"")</f>
        <v/>
      </c>
      <c r="N84" s="1" t="str">
        <f t="shared" si="10"/>
        <v/>
      </c>
      <c r="O84" s="1" t="str">
        <f t="shared" si="11"/>
        <v/>
      </c>
    </row>
    <row r="85" spans="1:15" x14ac:dyDescent="0.25">
      <c r="A85" s="37" t="str">
        <f t="shared" ref="A85:A102" si="12">IF(B85&gt;"",A84+1,"")</f>
        <v/>
      </c>
      <c r="B85" s="40" t="str">
        <f t="array" ref="B85">IF(J85&lt;&gt;"",(IF(K85&lt;&gt;"5",B84,INDEX(Kitaplar!$A$2:$A$20,MATCH(B84,Kitaplar!$A$2:$A$21,0)+1,1))),"")</f>
        <v/>
      </c>
      <c r="C85" s="37" t="str">
        <f t="shared" si="8"/>
        <v/>
      </c>
      <c r="D85" s="39" t="str">
        <f>IF(J85&lt;&gt;"",IFERROR(VLOOKUP(J85,AdiSoyadi!$A$2:$E$108,4,0),""),"")</f>
        <v/>
      </c>
      <c r="J85" t="str">
        <f t="shared" si="9"/>
        <v/>
      </c>
      <c r="K85" s="1" t="str">
        <f>IF(J85&lt;&gt;"",(IFERROR(IF(VLOOKUP(B84,Kitaplar!$A$2:$C$16,3,0)&gt;L84,L84+1,"5"),"")),"")</f>
        <v/>
      </c>
      <c r="L85" s="1" t="str">
        <f>IFERROR(IF((VLOOKUP(B85,Kitaplar!$A$2:$C$27,3,0))-K85&gt;N85,K85+N85,VLOOKUP(B85,Kitaplar!$A$2:$C$27,3,0)),"")</f>
        <v/>
      </c>
      <c r="N85" s="1" t="str">
        <f t="shared" si="10"/>
        <v/>
      </c>
      <c r="O85" s="1" t="str">
        <f t="shared" si="11"/>
        <v/>
      </c>
    </row>
    <row r="86" spans="1:15" x14ac:dyDescent="0.25">
      <c r="A86" s="37" t="str">
        <f t="shared" si="12"/>
        <v/>
      </c>
      <c r="B86" s="40" t="str">
        <f t="array" ref="B86">IF(J86&lt;&gt;"",(IF(K86&lt;&gt;"5",B85,INDEX(Kitaplar!$A$2:$A$20,MATCH(B85,Kitaplar!$A$2:$A$21,0)+1,1))),"")</f>
        <v/>
      </c>
      <c r="C86" s="37" t="str">
        <f t="shared" si="8"/>
        <v/>
      </c>
      <c r="D86" s="39" t="str">
        <f>IF(J86&lt;&gt;"",IFERROR(VLOOKUP(J86,AdiSoyadi!$A$2:$E$108,4,0),""),"")</f>
        <v/>
      </c>
      <c r="J86" t="str">
        <f t="shared" si="9"/>
        <v/>
      </c>
      <c r="K86" s="1" t="str">
        <f>IF(J86&lt;&gt;"",(IFERROR(IF(VLOOKUP(B85,Kitaplar!$A$2:$C$16,3,0)&gt;L85,L85+1,"5"),"")),"")</f>
        <v/>
      </c>
      <c r="L86" s="1" t="str">
        <f>IFERROR(IF((VLOOKUP(B86,Kitaplar!$A$2:$C$27,3,0))-K86&gt;N86,K86+N86,VLOOKUP(B86,Kitaplar!$A$2:$C$27,3,0)),"")</f>
        <v/>
      </c>
      <c r="N86" s="1" t="str">
        <f t="shared" si="10"/>
        <v/>
      </c>
      <c r="O86" s="1" t="str">
        <f t="shared" si="11"/>
        <v/>
      </c>
    </row>
    <row r="87" spans="1:15" x14ac:dyDescent="0.25">
      <c r="A87" s="37" t="str">
        <f t="shared" si="12"/>
        <v/>
      </c>
      <c r="B87" s="40" t="str">
        <f t="array" ref="B87">IF(J87&lt;&gt;"",(IF(K87&lt;&gt;"5",B86,INDEX(Kitaplar!$A$2:$A$20,MATCH(B86,Kitaplar!$A$2:$A$21,0)+1,1))),"")</f>
        <v/>
      </c>
      <c r="C87" s="37" t="str">
        <f t="shared" si="8"/>
        <v/>
      </c>
      <c r="D87" s="39" t="str">
        <f>IF(J87&lt;&gt;"",IFERROR(VLOOKUP(J87,AdiSoyadi!$A$2:$E$108,4,0),""),"")</f>
        <v/>
      </c>
      <c r="J87" t="str">
        <f t="shared" si="9"/>
        <v/>
      </c>
      <c r="K87" s="1" t="str">
        <f>IF(J87&lt;&gt;"",(IFERROR(IF(VLOOKUP(B86,Kitaplar!$A$2:$C$16,3,0)&gt;L86,L86+1,"5"),"")),"")</f>
        <v/>
      </c>
      <c r="L87" s="1" t="str">
        <f>IFERROR(IF((VLOOKUP(B87,Kitaplar!$A$2:$C$27,3,0))-K87&gt;N87,K87+N87,VLOOKUP(B87,Kitaplar!$A$2:$C$27,3,0)),"")</f>
        <v/>
      </c>
      <c r="N87" s="1" t="str">
        <f t="shared" ref="N87:N102" si="13">IF(M87&lt;&gt;"",M87*7,"")</f>
        <v/>
      </c>
      <c r="O87" s="1" t="str">
        <f t="shared" ref="O87:O102" si="14">IF(M87="","",IF(M86=M87,O86+1,1))</f>
        <v/>
      </c>
    </row>
    <row r="88" spans="1:15" x14ac:dyDescent="0.25">
      <c r="A88" s="37" t="str">
        <f t="shared" si="12"/>
        <v/>
      </c>
      <c r="B88" s="40" t="str">
        <f t="array" ref="B88">IF(J88&lt;&gt;"",(IF(K88&lt;&gt;"5",B87,INDEX(Kitaplar!$A$2:$A$20,MATCH(B87,Kitaplar!$A$2:$A$21,0)+1,1))),"")</f>
        <v/>
      </c>
      <c r="C88" s="37" t="str">
        <f t="shared" si="8"/>
        <v/>
      </c>
      <c r="D88" s="39" t="str">
        <f>IF(J88&lt;&gt;"",IFERROR(VLOOKUP(J88,AdiSoyadi!$A$2:$E$108,4,0),""),"")</f>
        <v/>
      </c>
      <c r="J88" t="str">
        <f t="shared" si="9"/>
        <v/>
      </c>
      <c r="K88" s="1" t="str">
        <f>IF(J88&lt;&gt;"",(IFERROR(IF(VLOOKUP(B87,Kitaplar!$A$2:$C$16,3,0)&gt;L87,L87+1,"5"),"")),"")</f>
        <v/>
      </c>
      <c r="L88" s="1" t="str">
        <f>IFERROR(IF((VLOOKUP(B88,Kitaplar!$A$2:$C$27,3,0))-K88&gt;N88,K88+N88,VLOOKUP(B88,Kitaplar!$A$2:$C$27,3,0)),"")</f>
        <v/>
      </c>
      <c r="N88" s="1" t="str">
        <f t="shared" si="13"/>
        <v/>
      </c>
      <c r="O88" s="1" t="str">
        <f t="shared" si="14"/>
        <v/>
      </c>
    </row>
    <row r="89" spans="1:15" x14ac:dyDescent="0.25">
      <c r="A89" s="37" t="str">
        <f t="shared" si="12"/>
        <v/>
      </c>
      <c r="B89" s="40" t="str">
        <f t="array" ref="B89">IF(J89&lt;&gt;"",(IF(K89&lt;&gt;"5",B88,INDEX(Kitaplar!$A$2:$A$20,MATCH(B88,Kitaplar!$A$2:$A$21,0)+1,1))),"")</f>
        <v/>
      </c>
      <c r="C89" s="37" t="str">
        <f t="shared" si="8"/>
        <v/>
      </c>
      <c r="D89" s="39" t="str">
        <f>IF(J89&lt;&gt;"",IFERROR(VLOOKUP(J89,AdiSoyadi!$A$2:$E$108,4,0),""),"")</f>
        <v/>
      </c>
      <c r="J89" t="str">
        <f t="shared" si="9"/>
        <v/>
      </c>
      <c r="K89" s="1" t="str">
        <f>IF(J89&lt;&gt;"",(IFERROR(IF(VLOOKUP(B88,Kitaplar!$A$2:$C$16,3,0)&gt;L88,L88+1,"5"),"")),"")</f>
        <v/>
      </c>
      <c r="L89" s="1" t="str">
        <f>IFERROR(IF((VLOOKUP(B89,Kitaplar!$A$2:$C$27,3,0))-K89&gt;N89,K89+N89,VLOOKUP(B89,Kitaplar!$A$2:$C$27,3,0)),"")</f>
        <v/>
      </c>
      <c r="N89" s="1" t="str">
        <f t="shared" si="13"/>
        <v/>
      </c>
      <c r="O89" s="1" t="str">
        <f t="shared" si="14"/>
        <v/>
      </c>
    </row>
    <row r="90" spans="1:15" x14ac:dyDescent="0.25">
      <c r="A90" s="37" t="str">
        <f t="shared" si="12"/>
        <v/>
      </c>
      <c r="B90" s="40" t="str">
        <f t="array" ref="B90">IF(J90&lt;&gt;"",(IF(K90&lt;&gt;"5",B89,INDEX(Kitaplar!$A$2:$A$20,MATCH(B89,Kitaplar!$A$2:$A$21,0)+1,1))),"")</f>
        <v/>
      </c>
      <c r="C90" s="37" t="str">
        <f t="shared" si="8"/>
        <v/>
      </c>
      <c r="D90" s="39" t="str">
        <f>IF(J90&lt;&gt;"",IFERROR(VLOOKUP(J90,AdiSoyadi!$A$2:$E$108,4,0),""),"")</f>
        <v/>
      </c>
      <c r="J90" t="str">
        <f t="shared" si="9"/>
        <v/>
      </c>
      <c r="K90" s="1" t="str">
        <f>IF(J90&lt;&gt;"",(IFERROR(IF(VLOOKUP(B89,Kitaplar!$A$2:$C$16,3,0)&gt;L89,L89+1,"5"),"")),"")</f>
        <v/>
      </c>
      <c r="L90" s="1" t="str">
        <f>IFERROR(IF((VLOOKUP(B90,Kitaplar!$A$2:$C$27,3,0))-K90&gt;N90,K90+N90,VLOOKUP(B90,Kitaplar!$A$2:$C$27,3,0)),"")</f>
        <v/>
      </c>
      <c r="N90" s="1" t="str">
        <f t="shared" si="13"/>
        <v/>
      </c>
      <c r="O90" s="1" t="str">
        <f t="shared" si="14"/>
        <v/>
      </c>
    </row>
    <row r="91" spans="1:15" x14ac:dyDescent="0.25">
      <c r="A91" s="37" t="str">
        <f t="shared" si="12"/>
        <v/>
      </c>
      <c r="B91" s="40" t="str">
        <f t="array" ref="B91">IF(J91&lt;&gt;"",(IF(K91&lt;&gt;"5",B90,INDEX(Kitaplar!$A$2:$A$20,MATCH(B90,Kitaplar!$A$2:$A$21,0)+1,1))),"")</f>
        <v/>
      </c>
      <c r="C91" s="37" t="str">
        <f t="shared" si="8"/>
        <v/>
      </c>
      <c r="D91" s="39" t="str">
        <f>IF(J91&lt;&gt;"",IFERROR(VLOOKUP(J91,AdiSoyadi!$A$2:$E$108,4,0),""),"")</f>
        <v/>
      </c>
      <c r="J91" t="str">
        <f t="shared" si="9"/>
        <v/>
      </c>
      <c r="K91" s="1" t="str">
        <f>IF(J91&lt;&gt;"",(IFERROR(IF(VLOOKUP(B90,Kitaplar!$A$2:$C$16,3,0)&gt;L90,L90+1,"5"),"")),"")</f>
        <v/>
      </c>
      <c r="L91" s="1" t="str">
        <f>IFERROR(IF((VLOOKUP(B91,Kitaplar!$A$2:$C$27,3,0))-K91&gt;N91,K91+N91,VLOOKUP(B91,Kitaplar!$A$2:$C$27,3,0)),"")</f>
        <v/>
      </c>
      <c r="N91" s="1" t="str">
        <f t="shared" si="13"/>
        <v/>
      </c>
      <c r="O91" s="1" t="str">
        <f t="shared" si="14"/>
        <v/>
      </c>
    </row>
    <row r="92" spans="1:15" x14ac:dyDescent="0.25">
      <c r="A92" s="37" t="str">
        <f t="shared" si="12"/>
        <v/>
      </c>
      <c r="B92" s="40" t="str">
        <f t="array" ref="B92">IF(J92&lt;&gt;"",(IF(K92&lt;&gt;"5",B91,INDEX(Kitaplar!$A$2:$A$20,MATCH(B91,Kitaplar!$A$2:$A$21,0)+1,1))),"")</f>
        <v/>
      </c>
      <c r="C92" s="37" t="str">
        <f t="shared" si="8"/>
        <v/>
      </c>
      <c r="D92" s="39" t="str">
        <f>IF(J92&lt;&gt;"",IFERROR(VLOOKUP(J92,AdiSoyadi!$A$2:$E$108,4,0),""),"")</f>
        <v/>
      </c>
      <c r="J92" t="str">
        <f t="shared" si="9"/>
        <v/>
      </c>
      <c r="K92" s="1" t="str">
        <f>IF(J92&lt;&gt;"",(IFERROR(IF(VLOOKUP(B91,Kitaplar!$A$2:$C$16,3,0)&gt;L91,L91+1,"5"),"")),"")</f>
        <v/>
      </c>
      <c r="L92" s="1" t="str">
        <f>IFERROR(IF((VLOOKUP(B92,Kitaplar!$A$2:$C$27,3,0))-K92&gt;N92,K92+N92,VLOOKUP(B92,Kitaplar!$A$2:$C$27,3,0)),"")</f>
        <v/>
      </c>
      <c r="N92" s="1" t="str">
        <f t="shared" si="13"/>
        <v/>
      </c>
      <c r="O92" s="1" t="str">
        <f t="shared" si="14"/>
        <v/>
      </c>
    </row>
    <row r="93" spans="1:15" x14ac:dyDescent="0.25">
      <c r="A93" s="37" t="str">
        <f t="shared" si="12"/>
        <v/>
      </c>
      <c r="B93" s="40" t="str">
        <f t="array" ref="B93">IF(J93&lt;&gt;"",(IF(K93&lt;&gt;"5",B92,INDEX(Kitaplar!$A$2:$A$20,MATCH(B92,Kitaplar!$A$2:$A$21,0)+1,1))),"")</f>
        <v/>
      </c>
      <c r="C93" s="37" t="str">
        <f t="shared" si="8"/>
        <v/>
      </c>
      <c r="D93" s="39" t="str">
        <f>IF(J93&lt;&gt;"",IFERROR(VLOOKUP(J93,AdiSoyadi!$A$2:$E$108,4,0),""),"")</f>
        <v/>
      </c>
      <c r="J93" t="str">
        <f t="shared" si="9"/>
        <v/>
      </c>
      <c r="K93" s="1" t="str">
        <f>IF(J93&lt;&gt;"",(IFERROR(IF(VLOOKUP(B92,Kitaplar!$A$2:$C$16,3,0)&gt;L92,L92+1,"5"),"")),"")</f>
        <v/>
      </c>
      <c r="L93" s="1" t="str">
        <f>IFERROR(IF((VLOOKUP(B93,Kitaplar!$A$2:$C$27,3,0))-K93&gt;N93,K93+N93,VLOOKUP(B93,Kitaplar!$A$2:$C$27,3,0)),"")</f>
        <v/>
      </c>
      <c r="N93" s="1" t="str">
        <f t="shared" si="13"/>
        <v/>
      </c>
      <c r="O93" s="1" t="str">
        <f t="shared" si="14"/>
        <v/>
      </c>
    </row>
    <row r="94" spans="1:15" x14ac:dyDescent="0.25">
      <c r="A94" s="37" t="str">
        <f t="shared" si="12"/>
        <v/>
      </c>
      <c r="B94" s="40" t="str">
        <f t="array" ref="B94">IF(J94&lt;&gt;"",(IF(K94&lt;&gt;"5",B93,INDEX(Kitaplar!$A$2:$A$20,MATCH(B93,Kitaplar!$A$2:$A$21,0)+1,1))),"")</f>
        <v/>
      </c>
      <c r="C94" s="37" t="str">
        <f t="shared" si="8"/>
        <v/>
      </c>
      <c r="D94" s="39" t="str">
        <f>IF(J94&lt;&gt;"",IFERROR(VLOOKUP(J94,AdiSoyadi!$A$2:$E$108,4,0),""),"")</f>
        <v/>
      </c>
      <c r="J94" t="str">
        <f t="shared" si="9"/>
        <v/>
      </c>
      <c r="K94" s="1" t="str">
        <f>IF(J94&lt;&gt;"",(IFERROR(IF(VLOOKUP(B93,Kitaplar!$A$2:$C$16,3,0)&gt;L93,L93+1,"5"),"")),"")</f>
        <v/>
      </c>
      <c r="L94" s="1" t="str">
        <f>IFERROR(IF((VLOOKUP(B94,Kitaplar!$A$2:$C$27,3,0))-K94&gt;N94,K94+N94,VLOOKUP(B94,Kitaplar!$A$2:$C$27,3,0)),"")</f>
        <v/>
      </c>
      <c r="N94" s="1" t="str">
        <f t="shared" si="13"/>
        <v/>
      </c>
      <c r="O94" s="1" t="str">
        <f t="shared" si="14"/>
        <v/>
      </c>
    </row>
    <row r="95" spans="1:15" x14ac:dyDescent="0.25">
      <c r="A95" s="37" t="str">
        <f t="shared" si="12"/>
        <v/>
      </c>
      <c r="B95" s="40" t="str">
        <f t="array" ref="B95">IF(J95&lt;&gt;"",(IF(K95&lt;&gt;"5",B94,INDEX(Kitaplar!$A$2:$A$20,MATCH(B94,Kitaplar!$A$2:$A$21,0)+1,1))),"")</f>
        <v/>
      </c>
      <c r="C95" s="37" t="str">
        <f t="shared" si="8"/>
        <v/>
      </c>
      <c r="D95" s="39" t="str">
        <f>IF(J95&lt;&gt;"",IFERROR(VLOOKUP(J95,AdiSoyadi!$A$2:$E$108,4,0),""),"")</f>
        <v/>
      </c>
      <c r="J95" t="str">
        <f t="shared" si="9"/>
        <v/>
      </c>
      <c r="K95" s="1" t="str">
        <f>IF(J95&lt;&gt;"",(IFERROR(IF(VLOOKUP(B94,Kitaplar!$A$2:$C$16,3,0)&gt;L94,L94+1,"5"),"")),"")</f>
        <v/>
      </c>
      <c r="L95" s="1" t="str">
        <f>IFERROR(IF((VLOOKUP(B95,Kitaplar!$A$2:$C$27,3,0))-K95&gt;N95,K95+N95,VLOOKUP(B95,Kitaplar!$A$2:$C$27,3,0)),"")</f>
        <v/>
      </c>
      <c r="N95" s="1" t="str">
        <f t="shared" si="13"/>
        <v/>
      </c>
      <c r="O95" s="1" t="str">
        <f t="shared" si="14"/>
        <v/>
      </c>
    </row>
    <row r="96" spans="1:15" x14ac:dyDescent="0.25">
      <c r="A96" s="37" t="str">
        <f t="shared" si="12"/>
        <v/>
      </c>
      <c r="B96" s="40" t="str">
        <f t="array" ref="B96">IF(J96&lt;&gt;"",(IF(K96&lt;&gt;"5",B95,INDEX(Kitaplar!$A$2:$A$20,MATCH(B95,Kitaplar!$A$2:$A$21,0)+1,1))),"")</f>
        <v/>
      </c>
      <c r="C96" s="37" t="str">
        <f t="shared" si="8"/>
        <v/>
      </c>
      <c r="D96" s="39" t="str">
        <f>IF(J96&lt;&gt;"",IFERROR(VLOOKUP(J96,AdiSoyadi!$A$2:$E$108,4,0),""),"")</f>
        <v/>
      </c>
      <c r="J96" t="str">
        <f t="shared" si="9"/>
        <v/>
      </c>
      <c r="K96" s="1" t="str">
        <f>IF(J96&lt;&gt;"",(IFERROR(IF(VLOOKUP(B95,Kitaplar!$A$2:$C$16,3,0)&gt;L95,L95+1,"5"),"")),"")</f>
        <v/>
      </c>
      <c r="L96" s="1" t="str">
        <f>IFERROR(IF((VLOOKUP(B96,Kitaplar!$A$2:$C$27,3,0))-K96&gt;N96,K96+N96,VLOOKUP(B96,Kitaplar!$A$2:$C$27,3,0)),"")</f>
        <v/>
      </c>
      <c r="N96" s="1" t="str">
        <f t="shared" si="13"/>
        <v/>
      </c>
      <c r="O96" s="1" t="str">
        <f t="shared" si="14"/>
        <v/>
      </c>
    </row>
    <row r="97" spans="1:15" x14ac:dyDescent="0.25">
      <c r="A97" s="37" t="str">
        <f t="shared" si="12"/>
        <v/>
      </c>
      <c r="B97" s="40" t="str">
        <f t="array" ref="B97">IF(J97&lt;&gt;"",(IF(K97&lt;&gt;"5",B96,INDEX(Kitaplar!$A$2:$A$20,MATCH(B96,Kitaplar!$A$2:$A$21,0)+1,1))),"")</f>
        <v/>
      </c>
      <c r="C97" s="37" t="str">
        <f t="shared" si="8"/>
        <v/>
      </c>
      <c r="D97" s="39" t="str">
        <f>IF(J97&lt;&gt;"",IFERROR(VLOOKUP(J97,AdiSoyadi!$A$2:$E$108,4,0),""),"")</f>
        <v/>
      </c>
      <c r="J97" t="str">
        <f t="shared" si="9"/>
        <v/>
      </c>
      <c r="K97" s="1" t="str">
        <f>IF(J97&lt;&gt;"",(IFERROR(IF(VLOOKUP(B96,Kitaplar!$A$2:$C$16,3,0)&gt;L96,L96+1,"5"),"")),"")</f>
        <v/>
      </c>
      <c r="L97" s="1" t="str">
        <f>IFERROR(IF((VLOOKUP(B97,Kitaplar!$A$2:$C$27,3,0))-K97&gt;N97,K97+N97,VLOOKUP(B97,Kitaplar!$A$2:$C$27,3,0)),"")</f>
        <v/>
      </c>
      <c r="N97" s="1" t="str">
        <f t="shared" si="13"/>
        <v/>
      </c>
      <c r="O97" s="1" t="str">
        <f t="shared" si="14"/>
        <v/>
      </c>
    </row>
    <row r="98" spans="1:15" x14ac:dyDescent="0.25">
      <c r="A98" s="37" t="str">
        <f t="shared" si="12"/>
        <v/>
      </c>
      <c r="B98" s="40" t="str">
        <f t="array" ref="B98">IF(J98&lt;&gt;"",(IF(K98&lt;&gt;"5",B97,INDEX(Kitaplar!$A$2:$A$20,MATCH(B97,Kitaplar!$A$2:$A$21,0)+1,1))),"")</f>
        <v/>
      </c>
      <c r="C98" s="37" t="str">
        <f t="shared" si="8"/>
        <v/>
      </c>
      <c r="D98" s="39" t="str">
        <f>IF(J98&lt;&gt;"",IFERROR(VLOOKUP(J98,AdiSoyadi!$A$2:$E$108,4,0),""),"")</f>
        <v/>
      </c>
      <c r="J98" t="str">
        <f t="shared" si="9"/>
        <v/>
      </c>
      <c r="K98" s="1" t="str">
        <f>IF(J98&lt;&gt;"",(IFERROR(IF(VLOOKUP(B97,Kitaplar!$A$2:$C$16,3,0)&gt;L97,L97+1,"5"),"")),"")</f>
        <v/>
      </c>
      <c r="L98" s="1" t="str">
        <f>IFERROR(IF((VLOOKUP(B98,Kitaplar!$A$2:$C$27,3,0))-K98&gt;N98,K98+N98,VLOOKUP(B98,Kitaplar!$A$2:$C$27,3,0)),"")</f>
        <v/>
      </c>
      <c r="N98" s="1" t="str">
        <f t="shared" si="13"/>
        <v/>
      </c>
      <c r="O98" s="1" t="str">
        <f t="shared" si="14"/>
        <v/>
      </c>
    </row>
    <row r="99" spans="1:15" x14ac:dyDescent="0.25">
      <c r="A99" s="37" t="str">
        <f t="shared" si="12"/>
        <v/>
      </c>
      <c r="B99" s="40" t="str">
        <f t="array" ref="B99">IF(J99&lt;&gt;"",(IF(K99&lt;&gt;"5",B98,INDEX(Kitaplar!$A$2:$A$20,MATCH(B98,Kitaplar!$A$2:$A$21,0)+1,1))),"")</f>
        <v/>
      </c>
      <c r="C99" s="37" t="str">
        <f t="shared" si="8"/>
        <v/>
      </c>
      <c r="D99" s="39" t="str">
        <f>IF(J99&lt;&gt;"",IFERROR(VLOOKUP(J99,AdiSoyadi!$A$2:$E$108,4,0),""),"")</f>
        <v/>
      </c>
      <c r="J99" t="str">
        <f t="shared" si="9"/>
        <v/>
      </c>
      <c r="K99" s="1" t="str">
        <f>IF(J99&lt;&gt;"",(IFERROR(IF(VLOOKUP(B98,Kitaplar!$A$2:$C$16,3,0)&gt;L98,L98+1,"5"),"")),"")</f>
        <v/>
      </c>
      <c r="L99" s="1" t="str">
        <f>IFERROR(IF((VLOOKUP(B99,Kitaplar!$A$2:$C$27,3,0))-K99&gt;N99,K99+N99,VLOOKUP(B99,Kitaplar!$A$2:$C$27,3,0)),"")</f>
        <v/>
      </c>
      <c r="N99" s="1" t="str">
        <f t="shared" si="13"/>
        <v/>
      </c>
      <c r="O99" s="1" t="str">
        <f t="shared" si="14"/>
        <v/>
      </c>
    </row>
    <row r="100" spans="1:15" x14ac:dyDescent="0.25">
      <c r="A100" s="37" t="str">
        <f t="shared" si="12"/>
        <v/>
      </c>
      <c r="B100" s="40" t="str">
        <f t="array" ref="B100">IF(J100&lt;&gt;"",(IF(K100&lt;&gt;"5",B99,INDEX(Kitaplar!$A$2:$A$20,MATCH(B99,Kitaplar!$A$2:$A$21,0)+1,1))),"")</f>
        <v/>
      </c>
      <c r="C100" s="37" t="str">
        <f t="shared" si="8"/>
        <v/>
      </c>
      <c r="D100" s="39" t="str">
        <f>IF(J100&lt;&gt;"",IFERROR(VLOOKUP(J100,AdiSoyadi!$A$2:$E$108,4,0),""),"")</f>
        <v/>
      </c>
      <c r="J100" t="str">
        <f t="shared" si="9"/>
        <v/>
      </c>
      <c r="K100" s="1" t="str">
        <f>IF(J100&lt;&gt;"",(IFERROR(IF(VLOOKUP(B99,Kitaplar!$A$2:$C$16,3,0)&gt;L99,L99+1,"5"),"")),"")</f>
        <v/>
      </c>
      <c r="L100" s="1" t="str">
        <f>IFERROR(IF((VLOOKUP(B100,Kitaplar!$A$2:$C$27,3,0))-K100&gt;N100,K100+N100,VLOOKUP(B100,Kitaplar!$A$2:$C$27,3,0)),"")</f>
        <v/>
      </c>
      <c r="N100" s="1" t="str">
        <f t="shared" si="13"/>
        <v/>
      </c>
      <c r="O100" s="1" t="str">
        <f t="shared" si="14"/>
        <v/>
      </c>
    </row>
    <row r="101" spans="1:15" x14ac:dyDescent="0.25">
      <c r="A101" s="37" t="str">
        <f t="shared" si="12"/>
        <v/>
      </c>
      <c r="B101" s="40" t="str">
        <f t="array" ref="B101">IF(J101&lt;&gt;"",(IF(K101&lt;&gt;"5",B100,INDEX(Kitaplar!$A$2:$A$20,MATCH(B100,Kitaplar!$A$2:$A$21,0)+1,1))),"")</f>
        <v/>
      </c>
      <c r="C101" s="37" t="str">
        <f t="shared" si="8"/>
        <v/>
      </c>
      <c r="D101" s="39" t="str">
        <f>IF(J101&lt;&gt;"",IFERROR(VLOOKUP(J101,AdiSoyadi!$A$2:$E$108,4,0),""),"")</f>
        <v/>
      </c>
      <c r="J101" t="str">
        <f t="shared" si="9"/>
        <v/>
      </c>
      <c r="K101" s="1" t="str">
        <f>IF(J101&lt;&gt;"",(IFERROR(IF(VLOOKUP(B100,Kitaplar!$A$2:$C$16,3,0)&gt;L100,L100+1,"5"),"")),"")</f>
        <v/>
      </c>
      <c r="L101" s="1" t="str">
        <f>IFERROR(IF((VLOOKUP(B101,Kitaplar!$A$2:$C$27,3,0))-K101&gt;N101,K101+N101,VLOOKUP(B101,Kitaplar!$A$2:$C$27,3,0)),"")</f>
        <v/>
      </c>
      <c r="N101" s="1" t="str">
        <f t="shared" si="13"/>
        <v/>
      </c>
      <c r="O101" s="1" t="str">
        <f t="shared" si="14"/>
        <v/>
      </c>
    </row>
    <row r="102" spans="1:15" x14ac:dyDescent="0.25">
      <c r="A102" s="37" t="str">
        <f t="shared" si="12"/>
        <v/>
      </c>
      <c r="B102" s="40" t="str">
        <f t="array" ref="B102">IF(J102&lt;&gt;"",(IF(K102&lt;&gt;"5",B101,INDEX(Kitaplar!$A$2:$A$20,MATCH(B101,Kitaplar!$A$2:$A$21,0)+1,1))),"")</f>
        <v/>
      </c>
      <c r="C102" s="37" t="str">
        <f t="shared" si="8"/>
        <v/>
      </c>
      <c r="D102" s="39" t="str">
        <f>IF(J102&lt;&gt;"",IFERROR(VLOOKUP(J102,AdiSoyadi!$A$2:$E$108,4,0),""),"")</f>
        <v/>
      </c>
      <c r="J102" t="str">
        <f t="shared" si="9"/>
        <v/>
      </c>
      <c r="K102" s="1" t="str">
        <f>IF(J102&lt;&gt;"",(IFERROR(IF(VLOOKUP(B101,Kitaplar!$A$2:$C$16,3,0)&gt;L101,L101+1,"5"),"")),"")</f>
        <v/>
      </c>
      <c r="L102" s="1" t="str">
        <f>IFERROR(IF((VLOOKUP(B102,Kitaplar!$A$2:$C$27,3,0))-K102&gt;N102,K102+N102,VLOOKUP(B102,Kitaplar!$A$2:$C$27,3,0)),"")</f>
        <v/>
      </c>
      <c r="N102" s="1" t="str">
        <f t="shared" si="13"/>
        <v/>
      </c>
      <c r="O102" s="1" t="str">
        <f t="shared" si="14"/>
        <v/>
      </c>
    </row>
  </sheetData>
  <mergeCells count="1">
    <mergeCell ref="A1:D1"/>
  </mergeCells>
  <conditionalFormatting sqref="A3:D102">
    <cfRule type="notContainsBlanks" dxfId="14" priority="1">
      <formula>LEN(TRIM(A3))&gt;0</formula>
    </cfRule>
  </conditionalFormatting>
  <pageMargins left="0.70866141732283472" right="0.35433070866141736" top="0.54" bottom="0.43307086614173229" header="0.31496062992125984" footer="0.23622047244094491"/>
  <pageSetup paperSize="9" scale="98" orientation="portrait" r:id="rId1"/>
  <headerFooter>
    <oddFooter>Sayfa &amp;P / &amp;N</oddFooter>
  </headerFooter>
  <rowBreaks count="1" manualBreakCount="1">
    <brk id="52" max="3" man="1"/>
  </rowBreaks>
  <ignoredErrors>
    <ignoredError sqref="B3 G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dfYap1">
                <anchor moveWithCells="1" sizeWithCells="1">
                  <from>
                    <xdr:col>4</xdr:col>
                    <xdr:colOff>657225</xdr:colOff>
                    <xdr:row>1</xdr:row>
                    <xdr:rowOff>180975</xdr:rowOff>
                  </from>
                  <to>
                    <xdr:col>6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Kitaplar!$A$2:$A$20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2">
    <pageSetUpPr fitToPage="1"/>
  </sheetPr>
  <dimension ref="A1:Y102"/>
  <sheetViews>
    <sheetView zoomScaleNormal="100" workbookViewId="0">
      <selection activeCell="L10" sqref="L10"/>
    </sheetView>
  </sheetViews>
  <sheetFormatPr defaultRowHeight="15" x14ac:dyDescent="0.25"/>
  <cols>
    <col min="1" max="1" width="3.5703125" style="8" customWidth="1"/>
    <col min="2" max="2" width="19.7109375" customWidth="1"/>
    <col min="3" max="3" width="8.5703125" style="1" bestFit="1" customWidth="1"/>
    <col min="4" max="4" width="19.7109375" customWidth="1"/>
    <col min="5" max="5" width="0.5703125" customWidth="1"/>
    <col min="6" max="6" width="4" bestFit="1" customWidth="1"/>
    <col min="7" max="7" width="19.7109375" customWidth="1"/>
    <col min="8" max="8" width="8.5703125" bestFit="1" customWidth="1"/>
    <col min="9" max="9" width="19.7109375" customWidth="1"/>
    <col min="10" max="10" width="10.140625" customWidth="1"/>
    <col min="11" max="11" width="11.7109375" customWidth="1"/>
    <col min="12" max="14" width="12.140625" customWidth="1"/>
    <col min="15" max="15" width="10.140625" hidden="1" customWidth="1"/>
    <col min="16" max="16" width="15.7109375" hidden="1" customWidth="1"/>
    <col min="17" max="17" width="8.28515625" style="1" hidden="1" customWidth="1"/>
    <col min="18" max="18" width="9.42578125" style="1" hidden="1" customWidth="1"/>
    <col min="19" max="19" width="12.5703125" style="1" hidden="1" customWidth="1"/>
    <col min="20" max="20" width="7.85546875" style="1" hidden="1" customWidth="1"/>
    <col min="21" max="21" width="6.85546875" style="1" hidden="1" customWidth="1"/>
    <col min="22" max="22" width="0" hidden="1" customWidth="1"/>
  </cols>
  <sheetData>
    <row r="1" spans="1:25" ht="18.75" customHeight="1" thickBot="1" x14ac:dyDescent="0.3">
      <c r="A1" s="42" t="str">
        <f>TEXT(K1,"GG.AA.YYYY")&amp;" - "&amp;TEXT(L1,"GG.AA.YYYY")&amp;" TARİHLERİ HAFTALIK KİTAP OKUMA PROGRAMI"</f>
        <v>20.01.1900 - 26.01.1900 TARİHLERİ HAFTALIK KİTAP OKUMA PROGRAMI</v>
      </c>
      <c r="B1" s="42"/>
      <c r="C1" s="42"/>
      <c r="D1" s="42"/>
      <c r="E1" s="42"/>
      <c r="F1" s="42"/>
      <c r="G1" s="42"/>
      <c r="H1" s="42"/>
      <c r="I1" s="42"/>
      <c r="K1" s="13">
        <v>20</v>
      </c>
      <c r="L1" s="14">
        <f>K1+6</f>
        <v>26</v>
      </c>
      <c r="M1" s="11"/>
      <c r="N1" s="11"/>
      <c r="O1" s="7"/>
    </row>
    <row r="2" spans="1:25" x14ac:dyDescent="0.25">
      <c r="A2" s="31" t="s">
        <v>18</v>
      </c>
      <c r="B2" s="32" t="s">
        <v>26</v>
      </c>
      <c r="C2" s="31" t="s">
        <v>23</v>
      </c>
      <c r="D2" s="32" t="s">
        <v>0</v>
      </c>
      <c r="F2" s="31" t="s">
        <v>18</v>
      </c>
      <c r="G2" s="32" t="s">
        <v>26</v>
      </c>
      <c r="H2" s="31" t="s">
        <v>23</v>
      </c>
      <c r="I2" s="32" t="s">
        <v>0</v>
      </c>
      <c r="P2" s="2" t="s">
        <v>24</v>
      </c>
      <c r="Q2" s="3" t="s">
        <v>19</v>
      </c>
      <c r="R2" s="3" t="s">
        <v>20</v>
      </c>
      <c r="S2" s="3" t="s">
        <v>22</v>
      </c>
      <c r="T2" s="3" t="s">
        <v>21</v>
      </c>
      <c r="U2" s="3" t="s">
        <v>111</v>
      </c>
      <c r="V2" s="3"/>
      <c r="W2" s="3"/>
      <c r="X2" s="3"/>
      <c r="Y2" s="3"/>
    </row>
    <row r="3" spans="1:25" x14ac:dyDescent="0.25">
      <c r="A3" s="33">
        <v>1</v>
      </c>
      <c r="B3" s="34" t="str">
        <f>Kitaplar!A2</f>
        <v>Sözler</v>
      </c>
      <c r="C3" s="33" t="str">
        <f t="shared" ref="C3:C34" si="0">IF(P3&lt;&gt;"",Q3&amp;" - "&amp;R3,"")</f>
        <v>5 - 145</v>
      </c>
      <c r="D3" s="35" t="str">
        <f>IF(P3&lt;&gt;"",IFERROR(VLOOKUP(P3,AdiSoyadi!$A$2:$E$108,4,0),""),"")</f>
        <v>MİRAÇ</v>
      </c>
      <c r="E3" s="12"/>
      <c r="F3" s="33">
        <f>IF(G3&gt;"",A52+1,"")</f>
        <v>51</v>
      </c>
      <c r="G3" s="36" t="str">
        <f t="array" ref="G3">IF(P53&lt;&gt;"",(IF(Q53&lt;&gt;"5",B52,INDEX(Kitaplar!$A$2:$A$20,MATCH(B52,Kitaplar!$A$2:$A$21,0)+1,1))),"")</f>
        <v>Barla Lahikası</v>
      </c>
      <c r="H3" s="33" t="str">
        <f t="shared" ref="H3:H34" si="1">IF(P53&lt;&gt;"",Q53&amp;" - "&amp;R53,"")</f>
        <v>5 - 75</v>
      </c>
      <c r="I3" s="35" t="str">
        <f>IF(P53&lt;&gt;"",IFERROR(VLOOKUP(P53,AdiSoyadi!$A$2:$E$108,4,0),""),"")</f>
        <v>HASAN3</v>
      </c>
      <c r="P3" t="str">
        <f>IF(S3="","","G."&amp;S3&amp;"N."&amp;U3)</f>
        <v>G.20N.1</v>
      </c>
      <c r="Q3" s="1">
        <f>IFERROR(VLOOKUP(B3,Kitaplar!$A$2:$C$27,2,0),"")</f>
        <v>5</v>
      </c>
      <c r="R3" s="1">
        <f>IFERROR(IF((VLOOKUP(B3,Kitaplar!$A$2:$C$27,3,0))-Q3&gt;T3,Q3+T3,VLOOKUP(B3,Kitaplar!$A$2:$C$27,3,0)),"")</f>
        <v>145</v>
      </c>
      <c r="S3" s="1">
        <v>20</v>
      </c>
      <c r="T3" s="1">
        <f>IF(S3&lt;&gt;"",S3*7,"")</f>
        <v>140</v>
      </c>
      <c r="U3" s="1">
        <v>1</v>
      </c>
    </row>
    <row r="4" spans="1:25" x14ac:dyDescent="0.25">
      <c r="A4" s="33">
        <f>IF(B4&gt;"",A3+1,"")</f>
        <v>2</v>
      </c>
      <c r="B4" s="36" t="str">
        <f t="array" ref="B4">IF(P4&lt;&gt;"",(IF(Q4&lt;&gt;"5",B3,INDEX(Kitaplar!$A$2:$A$20,MATCH(B3,Kitaplar!$A$2:$A$21,0)+1,1))),"")</f>
        <v>Sözler</v>
      </c>
      <c r="C4" s="33" t="str">
        <f t="shared" si="0"/>
        <v>146 - 286</v>
      </c>
      <c r="D4" s="35" t="str">
        <f>IF(P4&lt;&gt;"",IFERROR(VLOOKUP(P4,AdiSoyadi!$A$2:$E$108,4,0),""),"")</f>
        <v>YÜCEL</v>
      </c>
      <c r="E4" s="12"/>
      <c r="F4" s="33">
        <f t="shared" ref="F4:F35" si="2">IF(G4&gt;"",F3+1,"")</f>
        <v>52</v>
      </c>
      <c r="G4" s="36" t="str">
        <f t="array" ref="G4">IF(P54&lt;&gt;"",(IF(Q54&lt;&gt;"5",G3,INDEX(Kitaplar!$A$2:$A$20,MATCH(G3,Kitaplar!$A$2:$A$21,0)+1,1))),"")</f>
        <v>Barla Lahikası</v>
      </c>
      <c r="H4" s="33" t="str">
        <f t="shared" si="1"/>
        <v>76 - 146</v>
      </c>
      <c r="I4" s="35" t="str">
        <f>IF(P54&lt;&gt;"",IFERROR(VLOOKUP(P54,AdiSoyadi!$A$2:$E$108,4,0),""),"")</f>
        <v>HASAN</v>
      </c>
      <c r="P4" t="str">
        <f t="shared" ref="P4:P67" si="3">IF(S4="","","G."&amp;S4&amp;"N."&amp;U4)</f>
        <v>G.20N.2</v>
      </c>
      <c r="Q4" s="1">
        <f>IF(P4&lt;&gt;"",(IFERROR(IF(VLOOKUP(B3,Kitaplar!$A$2:$C$16,3,0)&gt;R3,R3+1,"5"),"")),"")</f>
        <v>146</v>
      </c>
      <c r="R4" s="1">
        <f>IFERROR(IF((VLOOKUP(B4,Kitaplar!$A$2:$C$27,3,0))-Q4&gt;T4,Q4+T4,VLOOKUP(B4,Kitaplar!$A$2:$C$27,3,0)),"")</f>
        <v>286</v>
      </c>
      <c r="S4" s="1">
        <v>20</v>
      </c>
      <c r="T4" s="1">
        <f t="shared" ref="T4:T52" si="4">IF(S4&lt;&gt;"",S4*7,"")</f>
        <v>140</v>
      </c>
      <c r="U4" s="1">
        <f t="shared" ref="U4:U67" si="5">IF(S4="","",IF(S3=S4,U3+1,1))</f>
        <v>2</v>
      </c>
    </row>
    <row r="5" spans="1:25" x14ac:dyDescent="0.25">
      <c r="A5" s="33">
        <f t="shared" ref="A5:A52" si="6">IF(B5&gt;"",A4+1,"")</f>
        <v>3</v>
      </c>
      <c r="B5" s="36" t="str">
        <f t="array" ref="B5">IF(P5&lt;&gt;"",(IF(Q5&lt;&gt;"5",B4,INDEX(Kitaplar!$A$2:$A$20,MATCH(B4,Kitaplar!$A$2:$A$21,0)+1,1))),"")</f>
        <v>Sözler</v>
      </c>
      <c r="C5" s="33" t="str">
        <f t="shared" si="0"/>
        <v>287 - 427</v>
      </c>
      <c r="D5" s="35" t="str">
        <f>IF(P5&lt;&gt;"",IFERROR(VLOOKUP(P5,AdiSoyadi!$A$2:$E$108,4,0),""),"")</f>
        <v>KUBİLAY</v>
      </c>
      <c r="E5" s="12"/>
      <c r="F5" s="33">
        <f t="shared" si="2"/>
        <v>53</v>
      </c>
      <c r="G5" s="36" t="str">
        <f t="array" ref="G5">IF(P55&lt;&gt;"",(IF(Q55&lt;&gt;"5",G4,INDEX(Kitaplar!$A$2:$A$20,MATCH(G4,Kitaplar!$A$2:$A$21,0)+1,1))),"")</f>
        <v>Barla Lahikası</v>
      </c>
      <c r="H5" s="33" t="str">
        <f t="shared" si="1"/>
        <v>147 - 217</v>
      </c>
      <c r="I5" s="35" t="str">
        <f>IF(P55&lt;&gt;"",IFERROR(VLOOKUP(P55,AdiSoyadi!$A$2:$E$108,4,0),""),"")</f>
        <v>KAMİL</v>
      </c>
      <c r="P5" t="str">
        <f t="shared" si="3"/>
        <v>G.20N.3</v>
      </c>
      <c r="Q5" s="1">
        <f>IF(P5&lt;&gt;"",(IFERROR(IF(VLOOKUP(B4,Kitaplar!$A$2:$C$16,3,0)&gt;R4,R4+1,"5"),"")),"")</f>
        <v>287</v>
      </c>
      <c r="R5" s="1">
        <f>IFERROR(IF((VLOOKUP(B5,Kitaplar!$A$2:$C$27,3,0))-Q5&gt;T5,Q5+T5,VLOOKUP(B5,Kitaplar!$A$2:$C$27,3,0)),"")</f>
        <v>427</v>
      </c>
      <c r="S5" s="1">
        <v>20</v>
      </c>
      <c r="T5" s="1">
        <f t="shared" si="4"/>
        <v>140</v>
      </c>
      <c r="U5" s="1">
        <f t="shared" si="5"/>
        <v>3</v>
      </c>
    </row>
    <row r="6" spans="1:25" x14ac:dyDescent="0.25">
      <c r="A6" s="33">
        <f t="shared" si="6"/>
        <v>4</v>
      </c>
      <c r="B6" s="36" t="str">
        <f t="array" ref="B6">IF(P6&lt;&gt;"",(IF(Q6&lt;&gt;"5",B5,INDEX(Kitaplar!$A$2:$A$20,MATCH(B5,Kitaplar!$A$2:$A$21,0)+1,1))),"")</f>
        <v>Sözler</v>
      </c>
      <c r="C6" s="33" t="str">
        <f t="shared" si="0"/>
        <v>428 - 568</v>
      </c>
      <c r="D6" s="35" t="str">
        <f>IF(P6&lt;&gt;"",IFERROR(VLOOKUP(P6,AdiSoyadi!$A$2:$E$108,4,0),""),"")</f>
        <v>HAYATİ</v>
      </c>
      <c r="E6" s="12"/>
      <c r="F6" s="33">
        <f t="shared" si="2"/>
        <v>54</v>
      </c>
      <c r="G6" s="36" t="str">
        <f t="array" ref="G6">IF(P56&lt;&gt;"",(IF(Q56&lt;&gt;"5",G5,INDEX(Kitaplar!$A$2:$A$20,MATCH(G5,Kitaplar!$A$2:$A$21,0)+1,1))),"")</f>
        <v>Barla Lahikası</v>
      </c>
      <c r="H6" s="33" t="str">
        <f t="shared" si="1"/>
        <v>218 - 288</v>
      </c>
      <c r="I6" s="35" t="str">
        <f>IF(P56&lt;&gt;"",IFERROR(VLOOKUP(P56,AdiSoyadi!$A$2:$E$108,4,0),""),"")</f>
        <v>NEBİ</v>
      </c>
      <c r="P6" t="str">
        <f t="shared" si="3"/>
        <v>G.20N.4</v>
      </c>
      <c r="Q6" s="1">
        <f>IF(P6&lt;&gt;"",(IFERROR(IF(VLOOKUP(B5,Kitaplar!$A$2:$C$16,3,0)&gt;R5,R5+1,"5"),"")),"")</f>
        <v>428</v>
      </c>
      <c r="R6" s="1">
        <f>IFERROR(IF((VLOOKUP(B6,Kitaplar!$A$2:$C$27,3,0))-Q6&gt;T6,Q6+T6,VLOOKUP(B6,Kitaplar!$A$2:$C$27,3,0)),"")</f>
        <v>568</v>
      </c>
      <c r="S6" s="1">
        <v>20</v>
      </c>
      <c r="T6" s="1">
        <f t="shared" si="4"/>
        <v>140</v>
      </c>
      <c r="U6" s="1">
        <f t="shared" si="5"/>
        <v>4</v>
      </c>
    </row>
    <row r="7" spans="1:25" x14ac:dyDescent="0.25">
      <c r="A7" s="33">
        <f t="shared" si="6"/>
        <v>5</v>
      </c>
      <c r="B7" s="36" t="str">
        <f t="array" ref="B7">IF(P7&lt;&gt;"",(IF(Q7&lt;&gt;"5",B6,INDEX(Kitaplar!$A$2:$A$20,MATCH(B6,Kitaplar!$A$2:$A$21,0)+1,1))),"")</f>
        <v>Sözler</v>
      </c>
      <c r="C7" s="33" t="str">
        <f t="shared" si="0"/>
        <v>569 - 709</v>
      </c>
      <c r="D7" s="35" t="str">
        <f>IF(P7&lt;&gt;"",IFERROR(VLOOKUP(P7,AdiSoyadi!$A$2:$E$108,4,0),""),"")</f>
        <v>MEHMET</v>
      </c>
      <c r="E7" s="12"/>
      <c r="F7" s="33">
        <f t="shared" si="2"/>
        <v>55</v>
      </c>
      <c r="G7" s="36" t="str">
        <f t="array" ref="G7">IF(P57&lt;&gt;"",(IF(Q57&lt;&gt;"5",G6,INDEX(Kitaplar!$A$2:$A$20,MATCH(G6,Kitaplar!$A$2:$A$21,0)+1,1))),"")</f>
        <v>Barla Lahikası</v>
      </c>
      <c r="H7" s="33" t="str">
        <f t="shared" si="1"/>
        <v>289 - 324</v>
      </c>
      <c r="I7" s="35" t="str">
        <f>IF(P57&lt;&gt;"",IFERROR(VLOOKUP(P57,AdiSoyadi!$A$2:$E$108,4,0),""),"")</f>
        <v>ÖZCAN</v>
      </c>
      <c r="P7" t="str">
        <f t="shared" si="3"/>
        <v>G.20N.5</v>
      </c>
      <c r="Q7" s="1">
        <f>IF(P7&lt;&gt;"",(IFERROR(IF(VLOOKUP(B6,Kitaplar!$A$2:$C$16,3,0)&gt;R6,R6+1,"5"),"")),"")</f>
        <v>569</v>
      </c>
      <c r="R7" s="1">
        <f>IFERROR(IF((VLOOKUP(B7,Kitaplar!$A$2:$C$27,3,0))-Q7&gt;T7,Q7+T7,VLOOKUP(B7,Kitaplar!$A$2:$C$27,3,0)),"")</f>
        <v>709</v>
      </c>
      <c r="S7" s="1">
        <v>20</v>
      </c>
      <c r="T7" s="1">
        <f t="shared" si="4"/>
        <v>140</v>
      </c>
      <c r="U7" s="1">
        <f t="shared" si="5"/>
        <v>5</v>
      </c>
    </row>
    <row r="8" spans="1:25" x14ac:dyDescent="0.25">
      <c r="A8" s="33">
        <f t="shared" si="6"/>
        <v>6</v>
      </c>
      <c r="B8" s="36" t="str">
        <f t="array" ref="B8">IF(P8&lt;&gt;"",(IF(Q8&lt;&gt;"5",B7,INDEX(Kitaplar!$A$2:$A$20,MATCH(B7,Kitaplar!$A$2:$A$21,0)+1,1))),"")</f>
        <v>Sözler</v>
      </c>
      <c r="C8" s="33" t="str">
        <f t="shared" si="0"/>
        <v>710 - 792</v>
      </c>
      <c r="D8" s="35" t="str">
        <f>IF(P8&lt;&gt;"",IFERROR(VLOOKUP(P8,AdiSoyadi!$A$2:$E$108,4,0),""),"")</f>
        <v>ABDURRAHMAN</v>
      </c>
      <c r="E8" s="12"/>
      <c r="F8" s="33">
        <f t="shared" si="2"/>
        <v>56</v>
      </c>
      <c r="G8" s="36" t="str">
        <f t="array" ref="G8">IF(P58&lt;&gt;"",(IF(Q58&lt;&gt;"5",G7,INDEX(Kitaplar!$A$2:$A$20,MATCH(G7,Kitaplar!$A$2:$A$21,0)+1,1))),"")</f>
        <v>Barla Lahikası</v>
      </c>
      <c r="H8" s="33" t="str">
        <f t="shared" si="1"/>
        <v>325 - 360</v>
      </c>
      <c r="I8" s="35" t="str">
        <f>IF(P58&lt;&gt;"",IFERROR(VLOOKUP(P58,AdiSoyadi!$A$2:$E$108,4,0),""),"")</f>
        <v>ÖZCAN3</v>
      </c>
      <c r="P8" t="str">
        <f t="shared" si="3"/>
        <v>G.20N.6</v>
      </c>
      <c r="Q8" s="1">
        <f>IF(P8&lt;&gt;"",(IFERROR(IF(VLOOKUP(B7,Kitaplar!$A$2:$C$16,3,0)&gt;R7,R7+1,"5"),"")),"")</f>
        <v>710</v>
      </c>
      <c r="R8" s="1">
        <f>IFERROR(IF((VLOOKUP(B8,Kitaplar!$A$2:$C$27,3,0))-Q8&gt;T8,Q8+T8,VLOOKUP(B8,Kitaplar!$A$2:$C$27,3,0)),"")</f>
        <v>792</v>
      </c>
      <c r="S8" s="1">
        <v>20</v>
      </c>
      <c r="T8" s="1">
        <f t="shared" si="4"/>
        <v>140</v>
      </c>
      <c r="U8" s="1">
        <f t="shared" si="5"/>
        <v>6</v>
      </c>
    </row>
    <row r="9" spans="1:25" x14ac:dyDescent="0.25">
      <c r="A9" s="33">
        <f t="shared" si="6"/>
        <v>7</v>
      </c>
      <c r="B9" s="36" t="str">
        <f t="array" ref="B9">IF(P9&lt;&gt;"",(IF(Q9&lt;&gt;"5",B8,INDEX(Kitaplar!$A$2:$A$20,MATCH(B8,Kitaplar!$A$2:$A$21,0)+1,1))),"")</f>
        <v>Şualar</v>
      </c>
      <c r="C9" s="33" t="str">
        <f t="shared" si="0"/>
        <v>5 - 145</v>
      </c>
      <c r="D9" s="35" t="str">
        <f>IF(P9&lt;&gt;"",IFERROR(VLOOKUP(P9,AdiSoyadi!$A$2:$E$108,4,0),""),"")</f>
        <v>SERDAL</v>
      </c>
      <c r="E9" s="12"/>
      <c r="F9" s="33">
        <f t="shared" si="2"/>
        <v>57</v>
      </c>
      <c r="G9" s="36" t="str">
        <f t="array" ref="G9">IF(P59&lt;&gt;"",(IF(Q59&lt;&gt;"5",G8,INDEX(Kitaplar!$A$2:$A$20,MATCH(G8,Kitaplar!$A$2:$A$21,0)+1,1))),"")</f>
        <v>Barla Lahikası</v>
      </c>
      <c r="H9" s="33" t="str">
        <f t="shared" si="1"/>
        <v>361 - 384</v>
      </c>
      <c r="I9" s="35" t="str">
        <f>IF(P59&lt;&gt;"",IFERROR(VLOOKUP(P59,AdiSoyadi!$A$2:$E$108,4,0),""),"")</f>
        <v>ÖZCAN4</v>
      </c>
      <c r="P9" t="str">
        <f t="shared" si="3"/>
        <v>G.20N.7</v>
      </c>
      <c r="Q9" s="1" t="str">
        <f>IF(P9&lt;&gt;"",(IFERROR(IF(VLOOKUP(B8,Kitaplar!$A$2:$C$16,3,0)&gt;R8,R8+1,"5"),"")),"")</f>
        <v>5</v>
      </c>
      <c r="R9" s="1">
        <f>IFERROR(IF((VLOOKUP(B9,Kitaplar!$A$2:$C$27,3,0))-Q9&gt;T9,Q9+T9,VLOOKUP(B9,Kitaplar!$A$2:$C$27,3,0)),"")</f>
        <v>145</v>
      </c>
      <c r="S9" s="1">
        <v>20</v>
      </c>
      <c r="T9" s="1">
        <f t="shared" si="4"/>
        <v>140</v>
      </c>
      <c r="U9" s="1">
        <f t="shared" si="5"/>
        <v>7</v>
      </c>
    </row>
    <row r="10" spans="1:25" x14ac:dyDescent="0.25">
      <c r="A10" s="33">
        <f t="shared" si="6"/>
        <v>8</v>
      </c>
      <c r="B10" s="36" t="str">
        <f t="array" ref="B10">IF(P10&lt;&gt;"",(IF(Q10&lt;&gt;"5",B9,INDEX(Kitaplar!$A$2:$A$20,MATCH(B9,Kitaplar!$A$2:$A$21,0)+1,1))),"")</f>
        <v>Şualar</v>
      </c>
      <c r="C10" s="33" t="str">
        <f t="shared" si="0"/>
        <v>146 - 286</v>
      </c>
      <c r="D10" s="35" t="str">
        <f>IF(P10&lt;&gt;"",IFERROR(VLOOKUP(P10,AdiSoyadi!$A$2:$E$108,4,0),""),"")</f>
        <v>ABDULLAH2</v>
      </c>
      <c r="E10" s="12"/>
      <c r="F10" s="33">
        <f t="shared" si="2"/>
        <v>58</v>
      </c>
      <c r="G10" s="36" t="str">
        <f t="array" ref="G10">IF(P60&lt;&gt;"",(IF(Q60&lt;&gt;"5",G9,INDEX(Kitaplar!$A$2:$A$20,MATCH(G9,Kitaplar!$A$2:$A$21,0)+1,1))),"")</f>
        <v>Kastamonu Lahikası</v>
      </c>
      <c r="H10" s="33" t="str">
        <f t="shared" si="1"/>
        <v>5 - 40</v>
      </c>
      <c r="I10" s="35" t="str">
        <f>IF(P60&lt;&gt;"",IFERROR(VLOOKUP(P60,AdiSoyadi!$A$2:$E$108,4,0),""),"")</f>
        <v>SERKAN</v>
      </c>
      <c r="P10" t="str">
        <f t="shared" si="3"/>
        <v>G.20N.8</v>
      </c>
      <c r="Q10" s="1">
        <f>IF(P10&lt;&gt;"",(IFERROR(IF(VLOOKUP(B9,Kitaplar!$A$2:$C$16,3,0)&gt;R9,R9+1,"5"),"")),"")</f>
        <v>146</v>
      </c>
      <c r="R10" s="1">
        <f>IFERROR(IF((VLOOKUP(B10,Kitaplar!$A$2:$C$27,3,0))-Q10&gt;T10,Q10+T10,VLOOKUP(B10,Kitaplar!$A$2:$C$27,3,0)),"")</f>
        <v>286</v>
      </c>
      <c r="S10" s="1">
        <v>20</v>
      </c>
      <c r="T10" s="1">
        <f t="shared" si="4"/>
        <v>140</v>
      </c>
      <c r="U10" s="1">
        <f t="shared" si="5"/>
        <v>8</v>
      </c>
    </row>
    <row r="11" spans="1:25" x14ac:dyDescent="0.25">
      <c r="A11" s="33">
        <f t="shared" si="6"/>
        <v>9</v>
      </c>
      <c r="B11" s="36" t="str">
        <f t="array" ref="B11">IF(P11&lt;&gt;"",(IF(Q11&lt;&gt;"5",B10,INDEX(Kitaplar!$A$2:$A$20,MATCH(B10,Kitaplar!$A$2:$A$21,0)+1,1))),"")</f>
        <v>Şualar</v>
      </c>
      <c r="C11" s="33" t="str">
        <f t="shared" si="0"/>
        <v>287 - 427</v>
      </c>
      <c r="D11" s="35" t="str">
        <f>IF(P11&lt;&gt;"",IFERROR(VLOOKUP(P11,AdiSoyadi!$A$2:$E$108,4,0),""),"")</f>
        <v>Mehmet 3</v>
      </c>
      <c r="E11" s="12"/>
      <c r="F11" s="33">
        <f t="shared" si="2"/>
        <v>59</v>
      </c>
      <c r="G11" s="36" t="str">
        <f t="array" ref="G11">IF(P61&lt;&gt;"",(IF(Q61&lt;&gt;"5",G10,INDEX(Kitaplar!$A$2:$A$20,MATCH(G10,Kitaplar!$A$2:$A$21,0)+1,1))),"")</f>
        <v>Kastamonu Lahikası</v>
      </c>
      <c r="H11" s="33" t="str">
        <f t="shared" si="1"/>
        <v>41 - 76</v>
      </c>
      <c r="I11" s="35" t="str">
        <f>IF(P61&lt;&gt;"",IFERROR(VLOOKUP(P61,AdiSoyadi!$A$2:$E$108,4,0),""),"")</f>
        <v>HASAN</v>
      </c>
      <c r="P11" t="str">
        <f t="shared" si="3"/>
        <v>G.20N.9</v>
      </c>
      <c r="Q11" s="1">
        <f>IF(P11&lt;&gt;"",(IFERROR(IF(VLOOKUP(B10,Kitaplar!$A$2:$C$16,3,0)&gt;R10,R10+1,"5"),"")),"")</f>
        <v>287</v>
      </c>
      <c r="R11" s="1">
        <f>IFERROR(IF((VLOOKUP(B11,Kitaplar!$A$2:$C$27,3,0))-Q11&gt;T11,Q11+T11,VLOOKUP(B11,Kitaplar!$A$2:$C$27,3,0)),"")</f>
        <v>427</v>
      </c>
      <c r="S11" s="1">
        <v>20</v>
      </c>
      <c r="T11" s="1">
        <f t="shared" si="4"/>
        <v>140</v>
      </c>
      <c r="U11" s="1">
        <f t="shared" si="5"/>
        <v>9</v>
      </c>
    </row>
    <row r="12" spans="1:25" x14ac:dyDescent="0.25">
      <c r="A12" s="33">
        <f t="shared" si="6"/>
        <v>10</v>
      </c>
      <c r="B12" s="36" t="str">
        <f t="array" ref="B12">IF(P12&lt;&gt;"",(IF(Q12&lt;&gt;"5",B11,INDEX(Kitaplar!$A$2:$A$20,MATCH(B11,Kitaplar!$A$2:$A$21,0)+1,1))),"")</f>
        <v>Şualar</v>
      </c>
      <c r="C12" s="33" t="str">
        <f t="shared" si="0"/>
        <v>428 - 533</v>
      </c>
      <c r="D12" s="35" t="str">
        <f>IF(P12&lt;&gt;"",IFERROR(VLOOKUP(P12,AdiSoyadi!$A$2:$E$108,4,0),""),"")</f>
        <v>FATİH</v>
      </c>
      <c r="E12" s="12"/>
      <c r="F12" s="33">
        <f t="shared" si="2"/>
        <v>60</v>
      </c>
      <c r="G12" s="36" t="str">
        <f t="array" ref="G12">IF(P62&lt;&gt;"",(IF(Q62&lt;&gt;"5",G11,INDEX(Kitaplar!$A$2:$A$20,MATCH(G11,Kitaplar!$A$2:$A$21,0)+1,1))),"")</f>
        <v>Kastamonu Lahikası</v>
      </c>
      <c r="H12" s="33" t="str">
        <f t="shared" si="1"/>
        <v>77 - 112</v>
      </c>
      <c r="I12" s="35" t="str">
        <f>IF(P62&lt;&gt;"",IFERROR(VLOOKUP(P62,AdiSoyadi!$A$2:$E$108,4,0),""),"")</f>
        <v>YUSUF KENAN</v>
      </c>
      <c r="P12" t="str">
        <f t="shared" si="3"/>
        <v>G.15N.1</v>
      </c>
      <c r="Q12" s="1">
        <f>IF(P12&lt;&gt;"",(IFERROR(IF(VLOOKUP(B11,Kitaplar!$A$2:$C$16,3,0)&gt;R11,R11+1,"5"),"")),"")</f>
        <v>428</v>
      </c>
      <c r="R12" s="1">
        <f>IFERROR(IF((VLOOKUP(B12,Kitaplar!$A$2:$C$27,3,0))-Q12&gt;T12,Q12+T12,VLOOKUP(B12,Kitaplar!$A$2:$C$27,3,0)),"")</f>
        <v>533</v>
      </c>
      <c r="S12" s="1">
        <v>15</v>
      </c>
      <c r="T12" s="1">
        <f t="shared" si="4"/>
        <v>105</v>
      </c>
      <c r="U12" s="1">
        <f t="shared" si="5"/>
        <v>1</v>
      </c>
    </row>
    <row r="13" spans="1:25" x14ac:dyDescent="0.25">
      <c r="A13" s="33">
        <f t="shared" si="6"/>
        <v>11</v>
      </c>
      <c r="B13" s="36" t="str">
        <f t="array" ref="B13">IF(P13&lt;&gt;"",(IF(Q13&lt;&gt;"5",B12,INDEX(Kitaplar!$A$2:$A$20,MATCH(B12,Kitaplar!$A$2:$A$21,0)+1,1))),"")</f>
        <v>Şualar</v>
      </c>
      <c r="C13" s="33" t="str">
        <f t="shared" si="0"/>
        <v>534 - 639</v>
      </c>
      <c r="D13" s="35" t="str">
        <f>IF(P13&lt;&gt;"",IFERROR(VLOOKUP(P13,AdiSoyadi!$A$2:$E$108,4,0),""),"")</f>
        <v>ABDURLLAH</v>
      </c>
      <c r="E13" s="12"/>
      <c r="F13" s="33">
        <f t="shared" si="2"/>
        <v>61</v>
      </c>
      <c r="G13" s="36" t="str">
        <f t="array" ref="G13">IF(P63&lt;&gt;"",(IF(Q63&lt;&gt;"5",G12,INDEX(Kitaplar!$A$2:$A$20,MATCH(G12,Kitaplar!$A$2:$A$21,0)+1,1))),"")</f>
        <v>Kastamonu Lahikası</v>
      </c>
      <c r="H13" s="33" t="str">
        <f t="shared" si="1"/>
        <v>113 - 148</v>
      </c>
      <c r="I13" s="35" t="str">
        <f>IF(P63&lt;&gt;"",IFERROR(VLOOKUP(P63,AdiSoyadi!$A$2:$E$108,4,0),""),"")</f>
        <v>ÇETİN</v>
      </c>
      <c r="P13" t="str">
        <f t="shared" si="3"/>
        <v>G.15N.2</v>
      </c>
      <c r="Q13" s="1">
        <f>IF(P13&lt;&gt;"",(IFERROR(IF(VLOOKUP(B12,Kitaplar!$A$2:$C$16,3,0)&gt;R12,R12+1,"5"),"")),"")</f>
        <v>534</v>
      </c>
      <c r="R13" s="1">
        <f>IFERROR(IF((VLOOKUP(B13,Kitaplar!$A$2:$C$27,3,0))-Q13&gt;T13,Q13+T13,VLOOKUP(B13,Kitaplar!$A$2:$C$27,3,0)),"")</f>
        <v>639</v>
      </c>
      <c r="S13" s="1">
        <v>15</v>
      </c>
      <c r="T13" s="1">
        <f t="shared" si="4"/>
        <v>105</v>
      </c>
      <c r="U13" s="1">
        <f t="shared" si="5"/>
        <v>2</v>
      </c>
    </row>
    <row r="14" spans="1:25" x14ac:dyDescent="0.25">
      <c r="A14" s="33">
        <f t="shared" si="6"/>
        <v>12</v>
      </c>
      <c r="B14" s="36" t="str">
        <f t="array" ref="B14">IF(P14&lt;&gt;"",(IF(Q14&lt;&gt;"5",B13,INDEX(Kitaplar!$A$2:$A$20,MATCH(B13,Kitaplar!$A$2:$A$21,0)+1,1))),"")</f>
        <v>Şualar</v>
      </c>
      <c r="C14" s="33" t="str">
        <f t="shared" si="0"/>
        <v>640 - 745</v>
      </c>
      <c r="D14" s="35" t="str">
        <f>IF(P14&lt;&gt;"",IFERROR(VLOOKUP(P14,AdiSoyadi!$A$2:$E$108,4,0),""),"")</f>
        <v>SERKAN</v>
      </c>
      <c r="E14" s="12"/>
      <c r="F14" s="33">
        <f t="shared" si="2"/>
        <v>62</v>
      </c>
      <c r="G14" s="36" t="str">
        <f t="array" ref="G14">IF(P64&lt;&gt;"",(IF(Q64&lt;&gt;"5",G13,INDEX(Kitaplar!$A$2:$A$20,MATCH(G13,Kitaplar!$A$2:$A$21,0)+1,1))),"")</f>
        <v>Kastamonu Lahikası</v>
      </c>
      <c r="H14" s="33" t="str">
        <f t="shared" si="1"/>
        <v>149 - 184</v>
      </c>
      <c r="I14" s="35" t="str">
        <f>IF(P64&lt;&gt;"",IFERROR(VLOOKUP(P64,AdiSoyadi!$A$2:$E$108,4,0),""),"")</f>
        <v>TARKAN</v>
      </c>
      <c r="P14" t="str">
        <f t="shared" si="3"/>
        <v>G.15N.3</v>
      </c>
      <c r="Q14" s="1">
        <f>IF(P14&lt;&gt;"",(IFERROR(IF(VLOOKUP(B13,Kitaplar!$A$2:$C$16,3,0)&gt;R13,R13+1,"5"),"")),"")</f>
        <v>640</v>
      </c>
      <c r="R14" s="1">
        <f>IFERROR(IF((VLOOKUP(B14,Kitaplar!$A$2:$C$27,3,0))-Q14&gt;T14,Q14+T14,VLOOKUP(B14,Kitaplar!$A$2:$C$27,3,0)),"")</f>
        <v>745</v>
      </c>
      <c r="S14" s="1">
        <v>15</v>
      </c>
      <c r="T14" s="1">
        <f t="shared" si="4"/>
        <v>105</v>
      </c>
      <c r="U14" s="1">
        <f t="shared" si="5"/>
        <v>3</v>
      </c>
    </row>
    <row r="15" spans="1:25" x14ac:dyDescent="0.25">
      <c r="A15" s="33">
        <f t="shared" si="6"/>
        <v>13</v>
      </c>
      <c r="B15" s="36" t="str">
        <f t="array" ref="B15">IF(P15&lt;&gt;"",(IF(Q15&lt;&gt;"5",B14,INDEX(Kitaplar!$A$2:$A$20,MATCH(B14,Kitaplar!$A$2:$A$21,0)+1,1))),"")</f>
        <v>Şualar</v>
      </c>
      <c r="C15" s="33" t="str">
        <f t="shared" si="0"/>
        <v>746 - 764</v>
      </c>
      <c r="D15" s="35" t="str">
        <f>IF(P15&lt;&gt;"",IFERROR(VLOOKUP(P15,AdiSoyadi!$A$2:$E$108,4,0),""),"")</f>
        <v>EMRE</v>
      </c>
      <c r="E15" s="12"/>
      <c r="F15" s="33">
        <f t="shared" si="2"/>
        <v>63</v>
      </c>
      <c r="G15" s="36" t="str">
        <f t="array" ref="G15">IF(P65&lt;&gt;"",(IF(Q65&lt;&gt;"5",G14,INDEX(Kitaplar!$A$2:$A$20,MATCH(G14,Kitaplar!$A$2:$A$21,0)+1,1))),"")</f>
        <v>Kastamonu Lahikası</v>
      </c>
      <c r="H15" s="33" t="str">
        <f t="shared" si="1"/>
        <v>185 - 220</v>
      </c>
      <c r="I15" s="35" t="str">
        <f>IF(P65&lt;&gt;"",IFERROR(VLOOKUP(P65,AdiSoyadi!$A$2:$E$108,4,0),""),"")</f>
        <v>MEHMET</v>
      </c>
      <c r="P15" t="str">
        <f t="shared" si="3"/>
        <v>G.15N.4</v>
      </c>
      <c r="Q15" s="1">
        <f>IF(P15&lt;&gt;"",(IFERROR(IF(VLOOKUP(B14,Kitaplar!$A$2:$C$16,3,0)&gt;R14,R14+1,"5"),"")),"")</f>
        <v>746</v>
      </c>
      <c r="R15" s="1">
        <f>IFERROR(IF((VLOOKUP(B15,Kitaplar!$A$2:$C$27,3,0))-Q15&gt;T15,Q15+T15,VLOOKUP(B15,Kitaplar!$A$2:$C$27,3,0)),"")</f>
        <v>764</v>
      </c>
      <c r="S15" s="1">
        <v>15</v>
      </c>
      <c r="T15" s="1">
        <f t="shared" si="4"/>
        <v>105</v>
      </c>
      <c r="U15" s="1">
        <f t="shared" si="5"/>
        <v>4</v>
      </c>
    </row>
    <row r="16" spans="1:25" x14ac:dyDescent="0.25">
      <c r="A16" s="33">
        <f t="shared" si="6"/>
        <v>14</v>
      </c>
      <c r="B16" s="36" t="str">
        <f t="array" ref="B16">IF(P16&lt;&gt;"",(IF(Q16&lt;&gt;"5",B15,INDEX(Kitaplar!$A$2:$A$20,MATCH(B15,Kitaplar!$A$2:$A$21,0)+1,1))),"")</f>
        <v>Mektubat</v>
      </c>
      <c r="C16" s="33" t="str">
        <f t="shared" si="0"/>
        <v>5 - 110</v>
      </c>
      <c r="D16" s="35" t="str">
        <f>IF(P16&lt;&gt;"",IFERROR(VLOOKUP(P16,AdiSoyadi!$A$2:$E$108,4,0),""),"")</f>
        <v>BAHATTİN</v>
      </c>
      <c r="E16" s="12"/>
      <c r="F16" s="33">
        <f t="shared" si="2"/>
        <v>64</v>
      </c>
      <c r="G16" s="36" t="str">
        <f t="array" ref="G16">IF(P66&lt;&gt;"",(IF(Q66&lt;&gt;"5",G15,INDEX(Kitaplar!$A$2:$A$20,MATCH(G15,Kitaplar!$A$2:$A$21,0)+1,1))),"")</f>
        <v>Kastamonu Lahikası</v>
      </c>
      <c r="H16" s="33" t="str">
        <f t="shared" si="1"/>
        <v>221 - 256</v>
      </c>
      <c r="I16" s="35" t="str">
        <f>IF(P66&lt;&gt;"",IFERROR(VLOOKUP(P66,AdiSoyadi!$A$2:$E$108,4,0),""),"")</f>
        <v>ERGÜN</v>
      </c>
      <c r="P16" t="str">
        <f t="shared" si="3"/>
        <v>G.15N.5</v>
      </c>
      <c r="Q16" s="1" t="str">
        <f>IF(P16&lt;&gt;"",(IFERROR(IF(VLOOKUP(B15,Kitaplar!$A$2:$C$16,3,0)&gt;R15,R15+1,"5"),"")),"")</f>
        <v>5</v>
      </c>
      <c r="R16" s="1">
        <f>IFERROR(IF((VLOOKUP(B16,Kitaplar!$A$2:$C$27,3,0))-Q16&gt;T16,Q16+T16,VLOOKUP(B16,Kitaplar!$A$2:$C$27,3,0)),"")</f>
        <v>110</v>
      </c>
      <c r="S16" s="1">
        <v>15</v>
      </c>
      <c r="T16" s="1">
        <f t="shared" si="4"/>
        <v>105</v>
      </c>
      <c r="U16" s="1">
        <f t="shared" si="5"/>
        <v>5</v>
      </c>
    </row>
    <row r="17" spans="1:21" x14ac:dyDescent="0.25">
      <c r="A17" s="33">
        <f t="shared" si="6"/>
        <v>15</v>
      </c>
      <c r="B17" s="36" t="str">
        <f t="array" ref="B17">IF(P17&lt;&gt;"",(IF(Q17&lt;&gt;"5",B16,INDEX(Kitaplar!$A$2:$A$20,MATCH(B16,Kitaplar!$A$2:$A$21,0)+1,1))),"")</f>
        <v>Mektubat</v>
      </c>
      <c r="C17" s="33" t="str">
        <f t="shared" si="0"/>
        <v>111 - 181</v>
      </c>
      <c r="D17" s="35" t="str">
        <f>IF(P17&lt;&gt;"",IFERROR(VLOOKUP(P17,AdiSoyadi!$A$2:$E$108,4,0),""),"")</f>
        <v>Ahmet3</v>
      </c>
      <c r="E17" s="12"/>
      <c r="F17" s="33">
        <f t="shared" si="2"/>
        <v>65</v>
      </c>
      <c r="G17" s="36" t="str">
        <f t="array" ref="G17">IF(P67&lt;&gt;"",(IF(Q67&lt;&gt;"5",G16,INDEX(Kitaplar!$A$2:$A$20,MATCH(G16,Kitaplar!$A$2:$A$21,0)+1,1))),"")</f>
        <v>Kastamonu Lahikası</v>
      </c>
      <c r="H17" s="33" t="str">
        <f t="shared" si="1"/>
        <v>257 - 268</v>
      </c>
      <c r="I17" s="35" t="str">
        <f>IF(P67&lt;&gt;"",IFERROR(VLOOKUP(P67,AdiSoyadi!$A$2:$E$108,4,0),""),"")</f>
        <v>KENAN AHMET</v>
      </c>
      <c r="P17" t="str">
        <f t="shared" si="3"/>
        <v>G.10N.1</v>
      </c>
      <c r="Q17" s="1">
        <f>IF(P17&lt;&gt;"",(IFERROR(IF(VLOOKUP(B16,Kitaplar!$A$2:$C$16,3,0)&gt;R16,R16+1,"5"),"")),"")</f>
        <v>111</v>
      </c>
      <c r="R17" s="1">
        <f>IFERROR(IF((VLOOKUP(B17,Kitaplar!$A$2:$C$27,3,0))-Q17&gt;T17,Q17+T17,VLOOKUP(B17,Kitaplar!$A$2:$C$27,3,0)),"")</f>
        <v>181</v>
      </c>
      <c r="S17" s="1">
        <v>10</v>
      </c>
      <c r="T17" s="1">
        <f t="shared" si="4"/>
        <v>70</v>
      </c>
      <c r="U17" s="1">
        <f t="shared" si="5"/>
        <v>1</v>
      </c>
    </row>
    <row r="18" spans="1:21" x14ac:dyDescent="0.25">
      <c r="A18" s="33">
        <f t="shared" si="6"/>
        <v>16</v>
      </c>
      <c r="B18" s="36" t="str">
        <f t="array" ref="B18">IF(P18&lt;&gt;"",(IF(Q18&lt;&gt;"5",B17,INDEX(Kitaplar!$A$2:$A$20,MATCH(B17,Kitaplar!$A$2:$A$21,0)+1,1))),"")</f>
        <v>Mektubat</v>
      </c>
      <c r="C18" s="33" t="str">
        <f t="shared" si="0"/>
        <v>182 - 252</v>
      </c>
      <c r="D18" s="35" t="str">
        <f>IF(P18&lt;&gt;"",IFERROR(VLOOKUP(P18,AdiSoyadi!$A$2:$E$108,4,0),""),"")</f>
        <v>BÜNYAMİN</v>
      </c>
      <c r="E18" s="12"/>
      <c r="F18" s="33">
        <f t="shared" si="2"/>
        <v>66</v>
      </c>
      <c r="G18" s="36" t="str">
        <f t="array" ref="G18">IF(P68&lt;&gt;"",(IF(Q68&lt;&gt;"5",G17,INDEX(Kitaplar!$A$2:$A$20,MATCH(G17,Kitaplar!$A$2:$A$21,0)+1,1))),"")</f>
        <v>Emirdağ Lahikası -I</v>
      </c>
      <c r="H18" s="33" t="str">
        <f t="shared" si="1"/>
        <v>5 - 40</v>
      </c>
      <c r="I18" s="35" t="str">
        <f>IF(P68&lt;&gt;"",IFERROR(VLOOKUP(P68,AdiSoyadi!$A$2:$E$108,4,0),""),"")</f>
        <v>URAL</v>
      </c>
      <c r="P18" t="str">
        <f t="shared" si="3"/>
        <v>G.10N.2</v>
      </c>
      <c r="Q18" s="1">
        <f>IF(P18&lt;&gt;"",(IFERROR(IF(VLOOKUP(B17,Kitaplar!$A$2:$C$16,3,0)&gt;R17,R17+1,"5"),"")),"")</f>
        <v>182</v>
      </c>
      <c r="R18" s="1">
        <f>IFERROR(IF((VLOOKUP(B18,Kitaplar!$A$2:$C$27,3,0))-Q18&gt;T18,Q18+T18,VLOOKUP(B18,Kitaplar!$A$2:$C$27,3,0)),"")</f>
        <v>252</v>
      </c>
      <c r="S18" s="1">
        <v>10</v>
      </c>
      <c r="T18" s="1">
        <f t="shared" si="4"/>
        <v>70</v>
      </c>
      <c r="U18" s="1">
        <f t="shared" si="5"/>
        <v>2</v>
      </c>
    </row>
    <row r="19" spans="1:21" x14ac:dyDescent="0.25">
      <c r="A19" s="33">
        <f t="shared" si="6"/>
        <v>17</v>
      </c>
      <c r="B19" s="36" t="str">
        <f t="array" ref="B19">IF(P19&lt;&gt;"",(IF(Q19&lt;&gt;"5",B18,INDEX(Kitaplar!$A$2:$A$20,MATCH(B18,Kitaplar!$A$2:$A$21,0)+1,1))),"")</f>
        <v>Mektubat</v>
      </c>
      <c r="C19" s="33" t="str">
        <f t="shared" si="0"/>
        <v>253 - 323</v>
      </c>
      <c r="D19" s="35" t="str">
        <f>IF(P19&lt;&gt;"",IFERROR(VLOOKUP(P19,AdiSoyadi!$A$2:$E$108,4,0),""),"")</f>
        <v>Yusuf 3</v>
      </c>
      <c r="E19" s="12"/>
      <c r="F19" s="33">
        <f t="shared" si="2"/>
        <v>67</v>
      </c>
      <c r="G19" s="36" t="str">
        <f t="array" ref="G19">IF(P69&lt;&gt;"",(IF(Q69&lt;&gt;"5",G18,INDEX(Kitaplar!$A$2:$A$20,MATCH(G18,Kitaplar!$A$2:$A$21,0)+1,1))),"")</f>
        <v>Emirdağ Lahikası -I</v>
      </c>
      <c r="H19" s="33" t="str">
        <f t="shared" si="1"/>
        <v>41 - 76</v>
      </c>
      <c r="I19" s="35" t="str">
        <f>IF(P69&lt;&gt;"",IFERROR(VLOOKUP(P69,AdiSoyadi!$A$2:$E$108,4,0),""),"")</f>
        <v>YAHYA</v>
      </c>
      <c r="P19" t="str">
        <f t="shared" si="3"/>
        <v>G.10N.3</v>
      </c>
      <c r="Q19" s="1">
        <f>IF(P19&lt;&gt;"",(IFERROR(IF(VLOOKUP(B18,Kitaplar!$A$2:$C$16,3,0)&gt;R18,R18+1,"5"),"")),"")</f>
        <v>253</v>
      </c>
      <c r="R19" s="1">
        <f>IFERROR(IF((VLOOKUP(B19,Kitaplar!$A$2:$C$27,3,0))-Q19&gt;T19,Q19+T19,VLOOKUP(B19,Kitaplar!$A$2:$C$27,3,0)),"")</f>
        <v>323</v>
      </c>
      <c r="S19" s="1">
        <v>10</v>
      </c>
      <c r="T19" s="1">
        <f t="shared" si="4"/>
        <v>70</v>
      </c>
      <c r="U19" s="1">
        <f t="shared" si="5"/>
        <v>3</v>
      </c>
    </row>
    <row r="20" spans="1:21" x14ac:dyDescent="0.25">
      <c r="A20" s="33">
        <f t="shared" si="6"/>
        <v>18</v>
      </c>
      <c r="B20" s="36" t="str">
        <f t="array" ref="B20">IF(P20&lt;&gt;"",(IF(Q20&lt;&gt;"5",B19,INDEX(Kitaplar!$A$2:$A$20,MATCH(B19,Kitaplar!$A$2:$A$21,0)+1,1))),"")</f>
        <v>Mektubat</v>
      </c>
      <c r="C20" s="33" t="str">
        <f t="shared" si="0"/>
        <v>324 - 394</v>
      </c>
      <c r="D20" s="35" t="str">
        <f>IF(P20&lt;&gt;"",IFERROR(VLOOKUP(P20,AdiSoyadi!$A$2:$E$108,4,0),""),"")</f>
        <v>ÖZGÜR</v>
      </c>
      <c r="E20" s="12"/>
      <c r="F20" s="33">
        <f t="shared" si="2"/>
        <v>68</v>
      </c>
      <c r="G20" s="36" t="str">
        <f t="array" ref="G20">IF(P70&lt;&gt;"",(IF(Q70&lt;&gt;"5",G19,INDEX(Kitaplar!$A$2:$A$20,MATCH(G19,Kitaplar!$A$2:$A$21,0)+1,1))),"")</f>
        <v>Emirdağ Lahikası -I</v>
      </c>
      <c r="H20" s="33" t="str">
        <f t="shared" si="1"/>
        <v>77 - 112</v>
      </c>
      <c r="I20" s="35" t="str">
        <f>IF(P70&lt;&gt;"",IFERROR(VLOOKUP(P70,AdiSoyadi!$A$2:$E$108,4,0),""),"")</f>
        <v>ALİ</v>
      </c>
      <c r="P20" t="str">
        <f t="shared" si="3"/>
        <v>G.10N.4</v>
      </c>
      <c r="Q20" s="1">
        <f>IF(P20&lt;&gt;"",(IFERROR(IF(VLOOKUP(B19,Kitaplar!$A$2:$C$16,3,0)&gt;R19,R19+1,"5"),"")),"")</f>
        <v>324</v>
      </c>
      <c r="R20" s="1">
        <f>IFERROR(IF((VLOOKUP(B20,Kitaplar!$A$2:$C$27,3,0))-Q20&gt;T20,Q20+T20,VLOOKUP(B20,Kitaplar!$A$2:$C$27,3,0)),"")</f>
        <v>394</v>
      </c>
      <c r="S20" s="1">
        <v>10</v>
      </c>
      <c r="T20" s="1">
        <f t="shared" si="4"/>
        <v>70</v>
      </c>
      <c r="U20" s="1">
        <f t="shared" si="5"/>
        <v>4</v>
      </c>
    </row>
    <row r="21" spans="1:21" x14ac:dyDescent="0.25">
      <c r="A21" s="33">
        <f t="shared" si="6"/>
        <v>19</v>
      </c>
      <c r="B21" s="36" t="str">
        <f t="array" ref="B21">IF(P21&lt;&gt;"",(IF(Q21&lt;&gt;"5",B20,INDEX(Kitaplar!$A$2:$A$20,MATCH(B20,Kitaplar!$A$2:$A$21,0)+1,1))),"")</f>
        <v>Mektubat</v>
      </c>
      <c r="C21" s="33" t="str">
        <f t="shared" si="0"/>
        <v>395 - 465</v>
      </c>
      <c r="D21" s="35" t="str">
        <f>IF(P21&lt;&gt;"",IFERROR(VLOOKUP(P21,AdiSoyadi!$A$2:$E$108,4,0),""),"")</f>
        <v>FERDİ</v>
      </c>
      <c r="E21" s="12"/>
      <c r="F21" s="33">
        <f t="shared" si="2"/>
        <v>69</v>
      </c>
      <c r="G21" s="36" t="str">
        <f t="array" ref="G21">IF(P71&lt;&gt;"",(IF(Q71&lt;&gt;"5",G20,INDEX(Kitaplar!$A$2:$A$20,MATCH(G20,Kitaplar!$A$2:$A$21,0)+1,1))),"")</f>
        <v>Emirdağ Lahikası -I</v>
      </c>
      <c r="H21" s="33" t="str">
        <f t="shared" si="1"/>
        <v>113 - 148</v>
      </c>
      <c r="I21" s="35" t="str">
        <f>IF(P71&lt;&gt;"",IFERROR(VLOOKUP(P71,AdiSoyadi!$A$2:$E$108,4,0),""),"")</f>
        <v>FATİH NAZMİ</v>
      </c>
      <c r="P21" t="str">
        <f t="shared" si="3"/>
        <v>G.10N.5</v>
      </c>
      <c r="Q21" s="1">
        <f>IF(P21&lt;&gt;"",(IFERROR(IF(VLOOKUP(B20,Kitaplar!$A$2:$C$16,3,0)&gt;R20,R20+1,"5"),"")),"")</f>
        <v>395</v>
      </c>
      <c r="R21" s="1">
        <f>IFERROR(IF((VLOOKUP(B21,Kitaplar!$A$2:$C$27,3,0))-Q21&gt;T21,Q21+T21,VLOOKUP(B21,Kitaplar!$A$2:$C$27,3,0)),"")</f>
        <v>465</v>
      </c>
      <c r="S21" s="1">
        <v>10</v>
      </c>
      <c r="T21" s="1">
        <f t="shared" si="4"/>
        <v>70</v>
      </c>
      <c r="U21" s="1">
        <f t="shared" si="5"/>
        <v>5</v>
      </c>
    </row>
    <row r="22" spans="1:21" x14ac:dyDescent="0.25">
      <c r="A22" s="33">
        <f t="shared" si="6"/>
        <v>20</v>
      </c>
      <c r="B22" s="36" t="str">
        <f t="array" ref="B22">IF(P22&lt;&gt;"",(IF(Q22&lt;&gt;"5",B21,INDEX(Kitaplar!$A$2:$A$20,MATCH(B21,Kitaplar!$A$2:$A$21,0)+1,1))),"")</f>
        <v>Mektubat</v>
      </c>
      <c r="C22" s="33" t="str">
        <f t="shared" si="0"/>
        <v>466 - 524</v>
      </c>
      <c r="D22" s="35" t="str">
        <f>IF(P22&lt;&gt;"",IFERROR(VLOOKUP(P22,AdiSoyadi!$A$2:$E$108,4,0),""),"")</f>
        <v>ERDAL</v>
      </c>
      <c r="E22" s="12"/>
      <c r="F22" s="33">
        <f t="shared" si="2"/>
        <v>70</v>
      </c>
      <c r="G22" s="36" t="str">
        <f t="array" ref="G22">IF(P72&lt;&gt;"",(IF(Q72&lt;&gt;"5",G21,INDEX(Kitaplar!$A$2:$A$20,MATCH(G21,Kitaplar!$A$2:$A$21,0)+1,1))),"")</f>
        <v>Emirdağ Lahikası -I</v>
      </c>
      <c r="H22" s="33" t="str">
        <f t="shared" si="1"/>
        <v>149 - 184</v>
      </c>
      <c r="I22" s="35" t="str">
        <f>IF(P72&lt;&gt;"",IFERROR(VLOOKUP(P72,AdiSoyadi!$A$2:$E$108,4,0),""),"")</f>
        <v>FATİH</v>
      </c>
      <c r="P22" t="str">
        <f t="shared" si="3"/>
        <v>G.10N.6</v>
      </c>
      <c r="Q22" s="1">
        <f>IF(P22&lt;&gt;"",(IFERROR(IF(VLOOKUP(B21,Kitaplar!$A$2:$C$16,3,0)&gt;R21,R21+1,"5"),"")),"")</f>
        <v>466</v>
      </c>
      <c r="R22" s="1">
        <f>IFERROR(IF((VLOOKUP(B22,Kitaplar!$A$2:$C$27,3,0))-Q22&gt;T22,Q22+T22,VLOOKUP(B22,Kitaplar!$A$2:$C$27,3,0)),"")</f>
        <v>524</v>
      </c>
      <c r="S22" s="1">
        <v>10</v>
      </c>
      <c r="T22" s="1">
        <f t="shared" si="4"/>
        <v>70</v>
      </c>
      <c r="U22" s="1">
        <f t="shared" si="5"/>
        <v>6</v>
      </c>
    </row>
    <row r="23" spans="1:21" x14ac:dyDescent="0.25">
      <c r="A23" s="33">
        <f t="shared" si="6"/>
        <v>21</v>
      </c>
      <c r="B23" s="36" t="str">
        <f t="array" ref="B23">IF(P23&lt;&gt;"",(IF(Q23&lt;&gt;"5",B22,INDEX(Kitaplar!$A$2:$A$20,MATCH(B22,Kitaplar!$A$2:$A$21,0)+1,1))),"")</f>
        <v>Lem'alar</v>
      </c>
      <c r="C23" s="33" t="str">
        <f t="shared" si="0"/>
        <v>5 - 75</v>
      </c>
      <c r="D23" s="35" t="str">
        <f>IF(P23&lt;&gt;"",IFERROR(VLOOKUP(P23,AdiSoyadi!$A$2:$E$108,4,0),""),"")</f>
        <v>İLHAN</v>
      </c>
      <c r="E23" s="12"/>
      <c r="F23" s="33">
        <f t="shared" si="2"/>
        <v>71</v>
      </c>
      <c r="G23" s="36" t="str">
        <f t="array" ref="G23">IF(P73&lt;&gt;"",(IF(Q73&lt;&gt;"5",G22,INDEX(Kitaplar!$A$2:$A$20,MATCH(G22,Kitaplar!$A$2:$A$21,0)+1,1))),"")</f>
        <v>Emirdağ Lahikası -I</v>
      </c>
      <c r="H23" s="33" t="str">
        <f t="shared" si="1"/>
        <v>185 - 220</v>
      </c>
      <c r="I23" s="35" t="str">
        <f>IF(P73&lt;&gt;"",IFERROR(VLOOKUP(P73,AdiSoyadi!$A$2:$E$108,4,0),""),"")</f>
        <v>MEHMET</v>
      </c>
      <c r="P23" t="str">
        <f t="shared" si="3"/>
        <v>G.10N.7</v>
      </c>
      <c r="Q23" s="1" t="str">
        <f>IF(P23&lt;&gt;"",(IFERROR(IF(VLOOKUP(B22,Kitaplar!$A$2:$C$16,3,0)&gt;R22,R22+1,"5"),"")),"")</f>
        <v>5</v>
      </c>
      <c r="R23" s="1">
        <f>IFERROR(IF((VLOOKUP(B23,Kitaplar!$A$2:$C$27,3,0))-Q23&gt;T23,Q23+T23,VLOOKUP(B23,Kitaplar!$A$2:$C$27,3,0)),"")</f>
        <v>75</v>
      </c>
      <c r="S23" s="1">
        <v>10</v>
      </c>
      <c r="T23" s="1">
        <f t="shared" si="4"/>
        <v>70</v>
      </c>
      <c r="U23" s="1">
        <f t="shared" si="5"/>
        <v>7</v>
      </c>
    </row>
    <row r="24" spans="1:21" x14ac:dyDescent="0.25">
      <c r="A24" s="33">
        <f t="shared" si="6"/>
        <v>22</v>
      </c>
      <c r="B24" s="36" t="str">
        <f t="array" ref="B24">IF(P24&lt;&gt;"",(IF(Q24&lt;&gt;"5",B23,INDEX(Kitaplar!$A$2:$A$20,MATCH(B23,Kitaplar!$A$2:$A$21,0)+1,1))),"")</f>
        <v>Lem'alar</v>
      </c>
      <c r="C24" s="33" t="str">
        <f t="shared" si="0"/>
        <v>76 - 146</v>
      </c>
      <c r="D24" s="35" t="str">
        <f>IF(P24&lt;&gt;"",IFERROR(VLOOKUP(P24,AdiSoyadi!$A$2:$E$108,4,0),""),"")</f>
        <v>SERDAR</v>
      </c>
      <c r="E24" s="12"/>
      <c r="F24" s="33">
        <f t="shared" si="2"/>
        <v>72</v>
      </c>
      <c r="G24" s="36" t="str">
        <f t="array" ref="G24">IF(P74&lt;&gt;"",(IF(Q74&lt;&gt;"5",G23,INDEX(Kitaplar!$A$2:$A$20,MATCH(G23,Kitaplar!$A$2:$A$21,0)+1,1))),"")</f>
        <v>Emirdağ Lahikası -I</v>
      </c>
      <c r="H24" s="33" t="str">
        <f t="shared" si="1"/>
        <v>221 - 256</v>
      </c>
      <c r="I24" s="35" t="str">
        <f>IF(P74&lt;&gt;"",IFERROR(VLOOKUP(P74,AdiSoyadi!$A$2:$E$108,4,0),""),"")</f>
        <v>TUFAN AKIN</v>
      </c>
      <c r="P24" t="str">
        <f t="shared" si="3"/>
        <v>G.10N.8</v>
      </c>
      <c r="Q24" s="1">
        <f>IF(P24&lt;&gt;"",(IFERROR(IF(VLOOKUP(B23,Kitaplar!$A$2:$C$16,3,0)&gt;R23,R23+1,"5"),"")),"")</f>
        <v>76</v>
      </c>
      <c r="R24" s="1">
        <f>IFERROR(IF((VLOOKUP(B24,Kitaplar!$A$2:$C$27,3,0))-Q24&gt;T24,Q24+T24,VLOOKUP(B24,Kitaplar!$A$2:$C$27,3,0)),"")</f>
        <v>146</v>
      </c>
      <c r="S24" s="1">
        <v>10</v>
      </c>
      <c r="T24" s="1">
        <f t="shared" si="4"/>
        <v>70</v>
      </c>
      <c r="U24" s="1">
        <f t="shared" si="5"/>
        <v>8</v>
      </c>
    </row>
    <row r="25" spans="1:21" x14ac:dyDescent="0.25">
      <c r="A25" s="33">
        <f t="shared" si="6"/>
        <v>23</v>
      </c>
      <c r="B25" s="36" t="str">
        <f t="array" ref="B25">IF(P25&lt;&gt;"",(IF(Q25&lt;&gt;"5",B24,INDEX(Kitaplar!$A$2:$A$20,MATCH(B24,Kitaplar!$A$2:$A$21,0)+1,1))),"")</f>
        <v>Lem'alar</v>
      </c>
      <c r="C25" s="33" t="str">
        <f t="shared" si="0"/>
        <v>147 - 217</v>
      </c>
      <c r="D25" s="35" t="str">
        <f>IF(P25&lt;&gt;"",IFERROR(VLOOKUP(P25,AdiSoyadi!$A$2:$E$108,4,0),""),"")</f>
        <v>MEHMET ALİ</v>
      </c>
      <c r="E25" s="12"/>
      <c r="F25" s="33">
        <f t="shared" si="2"/>
        <v>73</v>
      </c>
      <c r="G25" s="36" t="str">
        <f t="array" ref="G25">IF(P75&lt;&gt;"",(IF(Q75&lt;&gt;"5",G24,INDEX(Kitaplar!$A$2:$A$20,MATCH(G24,Kitaplar!$A$2:$A$21,0)+1,1))),"")</f>
        <v>Emirdağ Lahikası -I</v>
      </c>
      <c r="H25" s="33" t="str">
        <f t="shared" si="1"/>
        <v>257 - 288</v>
      </c>
      <c r="I25" s="35" t="str">
        <f>IF(P75&lt;&gt;"",IFERROR(VLOOKUP(P75,AdiSoyadi!$A$2:$E$108,4,0),""),"")</f>
        <v>MEHMET</v>
      </c>
      <c r="P25" t="str">
        <f t="shared" si="3"/>
        <v>G.10N.9</v>
      </c>
      <c r="Q25" s="1">
        <f>IF(P25&lt;&gt;"",(IFERROR(IF(VLOOKUP(B24,Kitaplar!$A$2:$C$16,3,0)&gt;R24,R24+1,"5"),"")),"")</f>
        <v>147</v>
      </c>
      <c r="R25" s="1">
        <f>IFERROR(IF((VLOOKUP(B25,Kitaplar!$A$2:$C$27,3,0))-Q25&gt;T25,Q25+T25,VLOOKUP(B25,Kitaplar!$A$2:$C$27,3,0)),"")</f>
        <v>217</v>
      </c>
      <c r="S25" s="1">
        <v>10</v>
      </c>
      <c r="T25" s="1">
        <f t="shared" si="4"/>
        <v>70</v>
      </c>
      <c r="U25" s="1">
        <f t="shared" si="5"/>
        <v>9</v>
      </c>
    </row>
    <row r="26" spans="1:21" x14ac:dyDescent="0.25">
      <c r="A26" s="33">
        <f t="shared" si="6"/>
        <v>24</v>
      </c>
      <c r="B26" s="36" t="str">
        <f t="array" ref="B26">IF(P26&lt;&gt;"",(IF(Q26&lt;&gt;"5",B25,INDEX(Kitaplar!$A$2:$A$20,MATCH(B25,Kitaplar!$A$2:$A$21,0)+1,1))),"")</f>
        <v>Lem'alar</v>
      </c>
      <c r="C26" s="33" t="str">
        <f t="shared" si="0"/>
        <v>218 - 288</v>
      </c>
      <c r="D26" s="35" t="str">
        <f>IF(P26&lt;&gt;"",IFERROR(VLOOKUP(P26,AdiSoyadi!$A$2:$E$108,4,0),""),"")</f>
        <v>SEMİH</v>
      </c>
      <c r="E26" s="12"/>
      <c r="F26" s="33">
        <f t="shared" si="2"/>
        <v>74</v>
      </c>
      <c r="G26" s="36" t="str">
        <f t="array" ref="G26">IF(P76&lt;&gt;"",(IF(Q76&lt;&gt;"5",G25,INDEX(Kitaplar!$A$2:$A$20,MATCH(G25,Kitaplar!$A$2:$A$21,0)+1,1))),"")</f>
        <v>Emirdağ Lahikası -II</v>
      </c>
      <c r="H26" s="33" t="str">
        <f t="shared" si="1"/>
        <v>5 - 40</v>
      </c>
      <c r="I26" s="35" t="str">
        <f>IF(P76&lt;&gt;"",IFERROR(VLOOKUP(P76,AdiSoyadi!$A$2:$E$108,4,0),""),"")</f>
        <v>TURGAY YILMAZ</v>
      </c>
      <c r="P26" t="str">
        <f t="shared" si="3"/>
        <v>G.10N.10</v>
      </c>
      <c r="Q26" s="1">
        <f>IF(P26&lt;&gt;"",(IFERROR(IF(VLOOKUP(B25,Kitaplar!$A$2:$C$16,3,0)&gt;R25,R25+1,"5"),"")),"")</f>
        <v>218</v>
      </c>
      <c r="R26" s="1">
        <f>IFERROR(IF((VLOOKUP(B26,Kitaplar!$A$2:$C$27,3,0))-Q26&gt;T26,Q26+T26,VLOOKUP(B26,Kitaplar!$A$2:$C$27,3,0)),"")</f>
        <v>288</v>
      </c>
      <c r="S26" s="1">
        <v>10</v>
      </c>
      <c r="T26" s="1">
        <f t="shared" si="4"/>
        <v>70</v>
      </c>
      <c r="U26" s="1">
        <f t="shared" si="5"/>
        <v>10</v>
      </c>
    </row>
    <row r="27" spans="1:21" x14ac:dyDescent="0.25">
      <c r="A27" s="33">
        <f t="shared" si="6"/>
        <v>25</v>
      </c>
      <c r="B27" s="36" t="str">
        <f t="array" ref="B27">IF(P27&lt;&gt;"",(IF(Q27&lt;&gt;"5",B26,INDEX(Kitaplar!$A$2:$A$20,MATCH(B26,Kitaplar!$A$2:$A$21,0)+1,1))),"")</f>
        <v>Lem'alar</v>
      </c>
      <c r="C27" s="33" t="str">
        <f t="shared" si="0"/>
        <v>289 - 359</v>
      </c>
      <c r="D27" s="35" t="str">
        <f>IF(P27&lt;&gt;"",IFERROR(VLOOKUP(P27,AdiSoyadi!$A$2:$E$108,4,0),""),"")</f>
        <v>ERGÜN</v>
      </c>
      <c r="E27" s="12"/>
      <c r="F27" s="33">
        <f t="shared" si="2"/>
        <v>75</v>
      </c>
      <c r="G27" s="36" t="str">
        <f t="array" ref="G27">IF(P77&lt;&gt;"",(IF(Q77&lt;&gt;"5",G26,INDEX(Kitaplar!$A$2:$A$20,MATCH(G26,Kitaplar!$A$2:$A$21,0)+1,1))),"")</f>
        <v>Emirdağ Lahikası -II</v>
      </c>
      <c r="H27" s="33" t="str">
        <f t="shared" si="1"/>
        <v>41 - 76</v>
      </c>
      <c r="I27" s="35" t="str">
        <f>IF(P77&lt;&gt;"",IFERROR(VLOOKUP(P77,AdiSoyadi!$A$2:$E$108,4,0),""),"")</f>
        <v>HACI</v>
      </c>
      <c r="P27" t="str">
        <f t="shared" si="3"/>
        <v>G.10N.11</v>
      </c>
      <c r="Q27" s="1">
        <f>IF(P27&lt;&gt;"",(IFERROR(IF(VLOOKUP(B26,Kitaplar!$A$2:$C$16,3,0)&gt;R26,R26+1,"5"),"")),"")</f>
        <v>289</v>
      </c>
      <c r="R27" s="1">
        <f>IFERROR(IF((VLOOKUP(B27,Kitaplar!$A$2:$C$27,3,0))-Q27&gt;T27,Q27+T27,VLOOKUP(B27,Kitaplar!$A$2:$C$27,3,0)),"")</f>
        <v>359</v>
      </c>
      <c r="S27" s="1">
        <v>10</v>
      </c>
      <c r="T27" s="1">
        <f t="shared" si="4"/>
        <v>70</v>
      </c>
      <c r="U27" s="1">
        <f t="shared" si="5"/>
        <v>11</v>
      </c>
    </row>
    <row r="28" spans="1:21" x14ac:dyDescent="0.25">
      <c r="A28" s="33">
        <f t="shared" si="6"/>
        <v>26</v>
      </c>
      <c r="B28" s="36" t="str">
        <f t="array" ref="B28">IF(P28&lt;&gt;"",(IF(Q28&lt;&gt;"5",B27,INDEX(Kitaplar!$A$2:$A$20,MATCH(B27,Kitaplar!$A$2:$A$21,0)+1,1))),"")</f>
        <v>Lem'alar</v>
      </c>
      <c r="C28" s="33" t="str">
        <f t="shared" si="0"/>
        <v>360 - 430</v>
      </c>
      <c r="D28" s="35" t="str">
        <f>IF(P28&lt;&gt;"",IFERROR(VLOOKUP(P28,AdiSoyadi!$A$2:$E$108,4,0),""),"")</f>
        <v>Ali</v>
      </c>
      <c r="E28" s="12"/>
      <c r="F28" s="33">
        <f t="shared" si="2"/>
        <v>76</v>
      </c>
      <c r="G28" s="36" t="str">
        <f t="array" ref="G28">IF(P78&lt;&gt;"",(IF(Q78&lt;&gt;"5",G27,INDEX(Kitaplar!$A$2:$A$20,MATCH(G27,Kitaplar!$A$2:$A$21,0)+1,1))),"")</f>
        <v>Emirdağ Lahikası -II</v>
      </c>
      <c r="H28" s="33" t="str">
        <f t="shared" si="1"/>
        <v>77 - 112</v>
      </c>
      <c r="I28" s="35" t="str">
        <f>IF(P78&lt;&gt;"",IFERROR(VLOOKUP(P78,AdiSoyadi!$A$2:$E$108,4,0),""),"")</f>
        <v>GÖKMEN</v>
      </c>
      <c r="P28" t="str">
        <f t="shared" si="3"/>
        <v>G.10N.12</v>
      </c>
      <c r="Q28" s="1">
        <f>IF(P28&lt;&gt;"",(IFERROR(IF(VLOOKUP(B27,Kitaplar!$A$2:$C$16,3,0)&gt;R27,R27+1,"5"),"")),"")</f>
        <v>360</v>
      </c>
      <c r="R28" s="1">
        <f>IFERROR(IF((VLOOKUP(B28,Kitaplar!$A$2:$C$27,3,0))-Q28&gt;T28,Q28+T28,VLOOKUP(B28,Kitaplar!$A$2:$C$27,3,0)),"")</f>
        <v>430</v>
      </c>
      <c r="S28" s="1">
        <v>10</v>
      </c>
      <c r="T28" s="1">
        <f t="shared" si="4"/>
        <v>70</v>
      </c>
      <c r="U28" s="1">
        <f t="shared" si="5"/>
        <v>12</v>
      </c>
    </row>
    <row r="29" spans="1:21" x14ac:dyDescent="0.25">
      <c r="A29" s="33">
        <f t="shared" si="6"/>
        <v>27</v>
      </c>
      <c r="B29" s="36" t="str">
        <f t="array" ref="B29">IF(P29&lt;&gt;"",(IF(Q29&lt;&gt;"5",B28,INDEX(Kitaplar!$A$2:$A$20,MATCH(B28,Kitaplar!$A$2:$A$21,0)+1,1))),"")</f>
        <v>Lem'alar</v>
      </c>
      <c r="C29" s="33" t="str">
        <f t="shared" si="0"/>
        <v>431 - 450</v>
      </c>
      <c r="D29" s="35" t="str">
        <f>IF(P29&lt;&gt;"",IFERROR(VLOOKUP(P29,AdiSoyadi!$A$2:$E$108,4,0),""),"")</f>
        <v>MEHMET</v>
      </c>
      <c r="E29" s="12"/>
      <c r="F29" s="33">
        <f t="shared" si="2"/>
        <v>77</v>
      </c>
      <c r="G29" s="36" t="str">
        <f t="array" ref="G29">IF(P79&lt;&gt;"",(IF(Q79&lt;&gt;"5",G28,INDEX(Kitaplar!$A$2:$A$20,MATCH(G28,Kitaplar!$A$2:$A$21,0)+1,1))),"")</f>
        <v>Emirdağ Lahikası -II</v>
      </c>
      <c r="H29" s="33" t="str">
        <f t="shared" si="1"/>
        <v>113 - 148</v>
      </c>
      <c r="I29" s="35" t="str">
        <f>IF(P79&lt;&gt;"",IFERROR(VLOOKUP(P79,AdiSoyadi!$A$2:$E$108,4,0),""),"")</f>
        <v>BÜLENT</v>
      </c>
      <c r="P29" t="str">
        <f t="shared" si="3"/>
        <v>G.10N.13</v>
      </c>
      <c r="Q29" s="1">
        <f>IF(P29&lt;&gt;"",(IFERROR(IF(VLOOKUP(B28,Kitaplar!$A$2:$C$16,3,0)&gt;R28,R28+1,"5"),"")),"")</f>
        <v>431</v>
      </c>
      <c r="R29" s="1">
        <f>IFERROR(IF((VLOOKUP(B29,Kitaplar!$A$2:$C$27,3,0))-Q29&gt;T29,Q29+T29,VLOOKUP(B29,Kitaplar!$A$2:$C$27,3,0)),"")</f>
        <v>450</v>
      </c>
      <c r="S29" s="1">
        <v>10</v>
      </c>
      <c r="T29" s="1">
        <f t="shared" si="4"/>
        <v>70</v>
      </c>
      <c r="U29" s="1">
        <f t="shared" si="5"/>
        <v>13</v>
      </c>
    </row>
    <row r="30" spans="1:21" x14ac:dyDescent="0.25">
      <c r="A30" s="33">
        <f t="shared" si="6"/>
        <v>28</v>
      </c>
      <c r="B30" s="36" t="str">
        <f t="array" ref="B30">IF(P30&lt;&gt;"",(IF(Q30&lt;&gt;"5",B29,INDEX(Kitaplar!$A$2:$A$20,MATCH(B29,Kitaplar!$A$2:$A$21,0)+1,1))),"")</f>
        <v>Mesnevi Nuriye</v>
      </c>
      <c r="C30" s="33" t="str">
        <f t="shared" si="0"/>
        <v>5 - 75</v>
      </c>
      <c r="D30" s="35" t="str">
        <f>IF(P30&lt;&gt;"",IFERROR(VLOOKUP(P30,AdiSoyadi!$A$2:$E$108,4,0),""),"")</f>
        <v>HÜSEYİN</v>
      </c>
      <c r="E30" s="12"/>
      <c r="F30" s="33" t="str">
        <f t="shared" si="2"/>
        <v/>
      </c>
      <c r="G30" s="36" t="str">
        <f t="array" ref="G30">IF(P80&lt;&gt;"",(IF(Q80&lt;&gt;"5",G29,INDEX(Kitaplar!$A$2:$A$20,MATCH(G29,Kitaplar!$A$2:$A$21,0)+1,1))),"")</f>
        <v/>
      </c>
      <c r="H30" s="33" t="str">
        <f t="shared" si="1"/>
        <v/>
      </c>
      <c r="I30" s="35" t="str">
        <f>IF(P80&lt;&gt;"",IFERROR(VLOOKUP(P80,AdiSoyadi!$A$2:$E$108,4,0),""),"")</f>
        <v/>
      </c>
      <c r="P30" t="str">
        <f t="shared" si="3"/>
        <v>G.10N.14</v>
      </c>
      <c r="Q30" s="1" t="str">
        <f>IF(P30&lt;&gt;"",(IFERROR(IF(VLOOKUP(B29,Kitaplar!$A$2:$C$16,3,0)&gt;R29,R29+1,"5"),"")),"")</f>
        <v>5</v>
      </c>
      <c r="R30" s="1">
        <f>IFERROR(IF((VLOOKUP(B30,Kitaplar!$A$2:$C$27,3,0))-Q30&gt;T30,Q30+T30,VLOOKUP(B30,Kitaplar!$A$2:$C$27,3,0)),"")</f>
        <v>75</v>
      </c>
      <c r="S30" s="1">
        <v>10</v>
      </c>
      <c r="T30" s="1">
        <f t="shared" si="4"/>
        <v>70</v>
      </c>
      <c r="U30" s="1">
        <f t="shared" si="5"/>
        <v>14</v>
      </c>
    </row>
    <row r="31" spans="1:21" x14ac:dyDescent="0.25">
      <c r="A31" s="33">
        <f t="shared" si="6"/>
        <v>29</v>
      </c>
      <c r="B31" s="36" t="str">
        <f t="array" ref="B31">IF(P31&lt;&gt;"",(IF(Q31&lt;&gt;"5",B30,INDEX(Kitaplar!$A$2:$A$20,MATCH(B30,Kitaplar!$A$2:$A$21,0)+1,1))),"")</f>
        <v>Mesnevi Nuriye</v>
      </c>
      <c r="C31" s="33" t="str">
        <f t="shared" si="0"/>
        <v>76 - 146</v>
      </c>
      <c r="D31" s="35" t="str">
        <f>IF(P31&lt;&gt;"",IFERROR(VLOOKUP(P31,AdiSoyadi!$A$2:$E$108,4,0),""),"")</f>
        <v>BARIŞ</v>
      </c>
      <c r="E31" s="12"/>
      <c r="F31" s="33" t="str">
        <f t="shared" si="2"/>
        <v/>
      </c>
      <c r="G31" s="36" t="str">
        <f t="array" ref="G31">IF(P81&lt;&gt;"",(IF(Q81&lt;&gt;"5",G30,INDEX(Kitaplar!$A$2:$A$20,MATCH(G30,Kitaplar!$A$2:$A$21,0)+1,1))),"")</f>
        <v/>
      </c>
      <c r="H31" s="33" t="str">
        <f t="shared" si="1"/>
        <v/>
      </c>
      <c r="I31" s="35" t="str">
        <f>IF(P81&lt;&gt;"",IFERROR(VLOOKUP(P81,AdiSoyadi!$A$2:$E$108,4,0),""),"")</f>
        <v/>
      </c>
      <c r="P31" t="str">
        <f t="shared" si="3"/>
        <v>G.10N.15</v>
      </c>
      <c r="Q31" s="1">
        <f>IF(P31&lt;&gt;"",(IFERROR(IF(VLOOKUP(B30,Kitaplar!$A$2:$C$16,3,0)&gt;R30,R30+1,"5"),"")),"")</f>
        <v>76</v>
      </c>
      <c r="R31" s="1">
        <f>IFERROR(IF((VLOOKUP(B31,Kitaplar!$A$2:$C$27,3,0))-Q31&gt;T31,Q31+T31,VLOOKUP(B31,Kitaplar!$A$2:$C$27,3,0)),"")</f>
        <v>146</v>
      </c>
      <c r="S31" s="1">
        <v>10</v>
      </c>
      <c r="T31" s="1">
        <f t="shared" si="4"/>
        <v>70</v>
      </c>
      <c r="U31" s="1">
        <f t="shared" si="5"/>
        <v>15</v>
      </c>
    </row>
    <row r="32" spans="1:21" x14ac:dyDescent="0.25">
      <c r="A32" s="33">
        <f t="shared" si="6"/>
        <v>30</v>
      </c>
      <c r="B32" s="36" t="str">
        <f t="array" ref="B32">IF(P32&lt;&gt;"",(IF(Q32&lt;&gt;"5",B31,INDEX(Kitaplar!$A$2:$A$20,MATCH(B31,Kitaplar!$A$2:$A$21,0)+1,1))),"")</f>
        <v>Mesnevi Nuriye</v>
      </c>
      <c r="C32" s="33" t="str">
        <f t="shared" si="0"/>
        <v>147 - 217</v>
      </c>
      <c r="D32" s="35" t="str">
        <f>IF(P32&lt;&gt;"",IFERROR(VLOOKUP(P32,AdiSoyadi!$A$2:$E$108,4,0),""),"")</f>
        <v>KADİR</v>
      </c>
      <c r="E32" s="12"/>
      <c r="F32" s="33" t="str">
        <f t="shared" si="2"/>
        <v/>
      </c>
      <c r="G32" s="36" t="str">
        <f t="array" ref="G32">IF(P82&lt;&gt;"",(IF(Q82&lt;&gt;"5",G31,INDEX(Kitaplar!$A$2:$A$20,MATCH(G31,Kitaplar!$A$2:$A$21,0)+1,1))),"")</f>
        <v/>
      </c>
      <c r="H32" s="33" t="str">
        <f t="shared" si="1"/>
        <v/>
      </c>
      <c r="I32" s="35" t="str">
        <f>IF(P82&lt;&gt;"",IFERROR(VLOOKUP(P82,AdiSoyadi!$A$2:$E$108,4,0),""),"")</f>
        <v/>
      </c>
      <c r="P32" t="str">
        <f t="shared" si="3"/>
        <v>G.10N.16</v>
      </c>
      <c r="Q32" s="1">
        <f>IF(P32&lt;&gt;"",(IFERROR(IF(VLOOKUP(B31,Kitaplar!$A$2:$C$16,3,0)&gt;R31,R31+1,"5"),"")),"")</f>
        <v>147</v>
      </c>
      <c r="R32" s="1">
        <f>IFERROR(IF((VLOOKUP(B32,Kitaplar!$A$2:$C$27,3,0))-Q32&gt;T32,Q32+T32,VLOOKUP(B32,Kitaplar!$A$2:$C$27,3,0)),"")</f>
        <v>217</v>
      </c>
      <c r="S32" s="1">
        <v>10</v>
      </c>
      <c r="T32" s="1">
        <f t="shared" si="4"/>
        <v>70</v>
      </c>
      <c r="U32" s="1">
        <f t="shared" si="5"/>
        <v>16</v>
      </c>
    </row>
    <row r="33" spans="1:21" x14ac:dyDescent="0.25">
      <c r="A33" s="33">
        <f t="shared" si="6"/>
        <v>31</v>
      </c>
      <c r="B33" s="36" t="str">
        <f t="array" ref="B33">IF(P33&lt;&gt;"",(IF(Q33&lt;&gt;"5",B32,INDEX(Kitaplar!$A$2:$A$20,MATCH(B32,Kitaplar!$A$2:$A$21,0)+1,1))),"")</f>
        <v>Mesnevi Nuriye</v>
      </c>
      <c r="C33" s="33" t="str">
        <f t="shared" si="0"/>
        <v>218 - 269</v>
      </c>
      <c r="D33" s="35" t="str">
        <f>IF(P33&lt;&gt;"",IFERROR(VLOOKUP(P33,AdiSoyadi!$A$2:$E$108,4,0),""),"")</f>
        <v>FATİH</v>
      </c>
      <c r="E33" s="12"/>
      <c r="F33" s="33" t="str">
        <f t="shared" si="2"/>
        <v/>
      </c>
      <c r="G33" s="36" t="str">
        <f t="array" ref="G33">IF(P83&lt;&gt;"",(IF(Q83&lt;&gt;"5",G32,INDEX(Kitaplar!$A$2:$A$20,MATCH(G32,Kitaplar!$A$2:$A$21,0)+1,1))),"")</f>
        <v/>
      </c>
      <c r="H33" s="33" t="str">
        <f t="shared" si="1"/>
        <v/>
      </c>
      <c r="I33" s="35" t="str">
        <f>IF(P83&lt;&gt;"",IFERROR(VLOOKUP(P83,AdiSoyadi!$A$2:$E$108,4,0),""),"")</f>
        <v/>
      </c>
      <c r="P33" t="str">
        <f t="shared" si="3"/>
        <v>G.10N.17</v>
      </c>
      <c r="Q33" s="1">
        <f>IF(P33&lt;&gt;"",(IFERROR(IF(VLOOKUP(B32,Kitaplar!$A$2:$C$16,3,0)&gt;R32,R32+1,"5"),"")),"")</f>
        <v>218</v>
      </c>
      <c r="R33" s="1">
        <f>IFERROR(IF((VLOOKUP(B33,Kitaplar!$A$2:$C$27,3,0))-Q33&gt;T33,Q33+T33,VLOOKUP(B33,Kitaplar!$A$2:$C$27,3,0)),"")</f>
        <v>269</v>
      </c>
      <c r="S33" s="1">
        <v>10</v>
      </c>
      <c r="T33" s="1">
        <f t="shared" si="4"/>
        <v>70</v>
      </c>
      <c r="U33" s="1">
        <f t="shared" si="5"/>
        <v>17</v>
      </c>
    </row>
    <row r="34" spans="1:21" x14ac:dyDescent="0.25">
      <c r="A34" s="33">
        <f t="shared" si="6"/>
        <v>32</v>
      </c>
      <c r="B34" s="36" t="str">
        <f t="array" ref="B34">IF(P34&lt;&gt;"",(IF(Q34&lt;&gt;"5",B33,INDEX(Kitaplar!$A$2:$A$20,MATCH(B33,Kitaplar!$A$2:$A$21,0)+1,1))),"")</f>
        <v>Sikke-i Tastik-i Gaybi</v>
      </c>
      <c r="C34" s="33" t="str">
        <f t="shared" si="0"/>
        <v>5 - 75</v>
      </c>
      <c r="D34" s="35" t="str">
        <f>IF(P34&lt;&gt;"",IFERROR(VLOOKUP(P34,AdiSoyadi!$A$2:$E$108,4,0),""),"")</f>
        <v>FUAT</v>
      </c>
      <c r="E34" s="12"/>
      <c r="F34" s="33" t="str">
        <f t="shared" si="2"/>
        <v/>
      </c>
      <c r="G34" s="36" t="str">
        <f t="array" ref="G34">IF(P84&lt;&gt;"",(IF(Q84&lt;&gt;"5",G33,INDEX(Kitaplar!$A$2:$A$20,MATCH(G33,Kitaplar!$A$2:$A$21,0)+1,1))),"")</f>
        <v/>
      </c>
      <c r="H34" s="33" t="str">
        <f t="shared" si="1"/>
        <v/>
      </c>
      <c r="I34" s="35" t="str">
        <f>IF(P84&lt;&gt;"",IFERROR(VLOOKUP(P84,AdiSoyadi!$A$2:$E$108,4,0),""),"")</f>
        <v/>
      </c>
      <c r="P34" t="str">
        <f t="shared" si="3"/>
        <v>G.10N.18</v>
      </c>
      <c r="Q34" s="1" t="str">
        <f>IF(P34&lt;&gt;"",(IFERROR(IF(VLOOKUP(B33,Kitaplar!$A$2:$C$16,3,0)&gt;R33,R33+1,"5"),"")),"")</f>
        <v>5</v>
      </c>
      <c r="R34" s="1">
        <f>IFERROR(IF((VLOOKUP(B34,Kitaplar!$A$2:$C$27,3,0))-Q34&gt;T34,Q34+T34,VLOOKUP(B34,Kitaplar!$A$2:$C$27,3,0)),"")</f>
        <v>75</v>
      </c>
      <c r="S34" s="1">
        <v>10</v>
      </c>
      <c r="T34" s="1">
        <f t="shared" si="4"/>
        <v>70</v>
      </c>
      <c r="U34" s="1">
        <f t="shared" si="5"/>
        <v>18</v>
      </c>
    </row>
    <row r="35" spans="1:21" x14ac:dyDescent="0.25">
      <c r="A35" s="33">
        <f t="shared" si="6"/>
        <v>33</v>
      </c>
      <c r="B35" s="36" t="str">
        <f t="array" ref="B35">IF(P35&lt;&gt;"",(IF(Q35&lt;&gt;"5",B34,INDEX(Kitaplar!$A$2:$A$20,MATCH(B34,Kitaplar!$A$2:$A$21,0)+1,1))),"")</f>
        <v>Sikke-i Tastik-i Gaybi</v>
      </c>
      <c r="C35" s="33" t="str">
        <f t="shared" ref="C35:C52" si="7">IF(P35&lt;&gt;"",Q35&amp;" - "&amp;R35,"")</f>
        <v>76 - 146</v>
      </c>
      <c r="D35" s="35" t="str">
        <f>IF(P35&lt;&gt;"",IFERROR(VLOOKUP(P35,AdiSoyadi!$A$2:$E$108,4,0),""),"")</f>
        <v>GÖKHAN</v>
      </c>
      <c r="E35" s="12"/>
      <c r="F35" s="33" t="str">
        <f t="shared" si="2"/>
        <v/>
      </c>
      <c r="G35" s="36" t="str">
        <f t="array" ref="G35">IF(P85&lt;&gt;"",(IF(Q85&lt;&gt;"5",G34,INDEX(Kitaplar!$A$2:$A$20,MATCH(G34,Kitaplar!$A$2:$A$21,0)+1,1))),"")</f>
        <v/>
      </c>
      <c r="H35" s="33" t="str">
        <f t="shared" ref="H35:H52" si="8">IF(P85&lt;&gt;"",Q85&amp;" - "&amp;R85,"")</f>
        <v/>
      </c>
      <c r="I35" s="35" t="str">
        <f>IF(P85&lt;&gt;"",IFERROR(VLOOKUP(P85,AdiSoyadi!$A$2:$E$108,4,0),""),"")</f>
        <v/>
      </c>
      <c r="P35" t="str">
        <f t="shared" si="3"/>
        <v>G.10N.19</v>
      </c>
      <c r="Q35" s="1">
        <f>IF(P35&lt;&gt;"",(IFERROR(IF(VLOOKUP(B34,Kitaplar!$A$2:$C$16,3,0)&gt;R34,R34+1,"5"),"")),"")</f>
        <v>76</v>
      </c>
      <c r="R35" s="1">
        <f>IFERROR(IF((VLOOKUP(B35,Kitaplar!$A$2:$C$27,3,0))-Q35&gt;T35,Q35+T35,VLOOKUP(B35,Kitaplar!$A$2:$C$27,3,0)),"")</f>
        <v>146</v>
      </c>
      <c r="S35" s="1">
        <v>10</v>
      </c>
      <c r="T35" s="1">
        <f t="shared" si="4"/>
        <v>70</v>
      </c>
      <c r="U35" s="1">
        <f t="shared" si="5"/>
        <v>19</v>
      </c>
    </row>
    <row r="36" spans="1:21" x14ac:dyDescent="0.25">
      <c r="A36" s="33">
        <f t="shared" si="6"/>
        <v>34</v>
      </c>
      <c r="B36" s="36" t="str">
        <f t="array" ref="B36">IF(P36&lt;&gt;"",(IF(Q36&lt;&gt;"5",B35,INDEX(Kitaplar!$A$2:$A$20,MATCH(B35,Kitaplar!$A$2:$A$21,0)+1,1))),"")</f>
        <v>Sikke-i Tastik-i Gaybi</v>
      </c>
      <c r="C36" s="33" t="str">
        <f t="shared" si="7"/>
        <v>147 - 217</v>
      </c>
      <c r="D36" s="35" t="str">
        <f>IF(P36&lt;&gt;"",IFERROR(VLOOKUP(P36,AdiSoyadi!$A$2:$E$108,4,0),""),"")</f>
        <v>ORHAN</v>
      </c>
      <c r="E36" s="12"/>
      <c r="F36" s="33" t="str">
        <f t="shared" ref="F36:F52" si="9">IF(G36&gt;"",F35+1,"")</f>
        <v/>
      </c>
      <c r="G36" s="36" t="str">
        <f t="array" ref="G36">IF(P86&lt;&gt;"",(IF(Q86&lt;&gt;"5",G35,INDEX(Kitaplar!$A$2:$A$20,MATCH(G35,Kitaplar!$A$2:$A$21,0)+1,1))),"")</f>
        <v/>
      </c>
      <c r="H36" s="33" t="str">
        <f t="shared" si="8"/>
        <v/>
      </c>
      <c r="I36" s="35" t="str">
        <f>IF(P86&lt;&gt;"",IFERROR(VLOOKUP(P86,AdiSoyadi!$A$2:$E$108,4,0),""),"")</f>
        <v/>
      </c>
      <c r="P36" t="str">
        <f t="shared" si="3"/>
        <v>G.10N.20</v>
      </c>
      <c r="Q36" s="1">
        <f>IF(P36&lt;&gt;"",(IFERROR(IF(VLOOKUP(B35,Kitaplar!$A$2:$C$16,3,0)&gt;R35,R35+1,"5"),"")),"")</f>
        <v>147</v>
      </c>
      <c r="R36" s="1">
        <f>IFERROR(IF((VLOOKUP(B36,Kitaplar!$A$2:$C$27,3,0))-Q36&gt;T36,Q36+T36,VLOOKUP(B36,Kitaplar!$A$2:$C$27,3,0)),"")</f>
        <v>217</v>
      </c>
      <c r="S36" s="1">
        <v>10</v>
      </c>
      <c r="T36" s="1">
        <f t="shared" si="4"/>
        <v>70</v>
      </c>
      <c r="U36" s="1">
        <f t="shared" si="5"/>
        <v>20</v>
      </c>
    </row>
    <row r="37" spans="1:21" x14ac:dyDescent="0.25">
      <c r="A37" s="33">
        <f t="shared" si="6"/>
        <v>35</v>
      </c>
      <c r="B37" s="36" t="str">
        <f t="array" ref="B37">IF(P37&lt;&gt;"",(IF(Q37&lt;&gt;"5",B36,INDEX(Kitaplar!$A$2:$A$20,MATCH(B36,Kitaplar!$A$2:$A$21,0)+1,1))),"")</f>
        <v>Sikke-i Tastik-i Gaybi</v>
      </c>
      <c r="C37" s="33" t="str">
        <f t="shared" si="7"/>
        <v>218 - 271</v>
      </c>
      <c r="D37" s="35" t="str">
        <f>IF(P37&lt;&gt;"",IFERROR(VLOOKUP(P37,AdiSoyadi!$A$2:$E$108,4,0),""),"")</f>
        <v>MEHMET</v>
      </c>
      <c r="E37" s="12"/>
      <c r="F37" s="33" t="str">
        <f t="shared" si="9"/>
        <v/>
      </c>
      <c r="G37" s="36" t="str">
        <f t="array" ref="G37">IF(P87&lt;&gt;"",(IF(Q87&lt;&gt;"5",G36,INDEX(Kitaplar!$A$2:$A$20,MATCH(G36,Kitaplar!$A$2:$A$21,0)+1,1))),"")</f>
        <v/>
      </c>
      <c r="H37" s="33" t="str">
        <f t="shared" si="8"/>
        <v/>
      </c>
      <c r="I37" s="35" t="str">
        <f>IF(P87&lt;&gt;"",IFERROR(VLOOKUP(P87,AdiSoyadi!$A$2:$E$108,4,0),""),"")</f>
        <v/>
      </c>
      <c r="P37" t="str">
        <f t="shared" si="3"/>
        <v>G.10N.21</v>
      </c>
      <c r="Q37" s="1">
        <f>IF(P37&lt;&gt;"",(IFERROR(IF(VLOOKUP(B36,Kitaplar!$A$2:$C$16,3,0)&gt;R36,R36+1,"5"),"")),"")</f>
        <v>218</v>
      </c>
      <c r="R37" s="1">
        <f>IFERROR(IF((VLOOKUP(B37,Kitaplar!$A$2:$C$27,3,0))-Q37&gt;T37,Q37+T37,VLOOKUP(B37,Kitaplar!$A$2:$C$27,3,0)),"")</f>
        <v>271</v>
      </c>
      <c r="S37" s="1">
        <v>10</v>
      </c>
      <c r="T37" s="1">
        <f t="shared" si="4"/>
        <v>70</v>
      </c>
      <c r="U37" s="1">
        <f t="shared" si="5"/>
        <v>21</v>
      </c>
    </row>
    <row r="38" spans="1:21" x14ac:dyDescent="0.25">
      <c r="A38" s="33">
        <f t="shared" si="6"/>
        <v>36</v>
      </c>
      <c r="B38" s="36" t="str">
        <f t="array" ref="B38">IF(P38&lt;&gt;"",(IF(Q38&lt;&gt;"5",B37,INDEX(Kitaplar!$A$2:$A$20,MATCH(B37,Kitaplar!$A$2:$A$21,0)+1,1))),"")</f>
        <v>İşaretü'l İ'caz</v>
      </c>
      <c r="C38" s="33" t="str">
        <f t="shared" si="7"/>
        <v>5 - 75</v>
      </c>
      <c r="D38" s="35" t="str">
        <f>IF(P38&lt;&gt;"",IFERROR(VLOOKUP(P38,AdiSoyadi!$A$2:$E$108,4,0),""),"")</f>
        <v>EVREN</v>
      </c>
      <c r="E38" s="12"/>
      <c r="F38" s="33" t="str">
        <f t="shared" si="9"/>
        <v/>
      </c>
      <c r="G38" s="36" t="str">
        <f t="array" ref="G38">IF(P88&lt;&gt;"",(IF(Q88&lt;&gt;"5",G37,INDEX(Kitaplar!$A$2:$A$20,MATCH(G37,Kitaplar!$A$2:$A$21,0)+1,1))),"")</f>
        <v/>
      </c>
      <c r="H38" s="33" t="str">
        <f t="shared" si="8"/>
        <v/>
      </c>
      <c r="I38" s="35" t="str">
        <f>IF(P88&lt;&gt;"",IFERROR(VLOOKUP(P88,AdiSoyadi!$A$2:$E$108,4,0),""),"")</f>
        <v/>
      </c>
      <c r="P38" t="str">
        <f t="shared" si="3"/>
        <v>G.10N.22</v>
      </c>
      <c r="Q38" s="1" t="str">
        <f>IF(P38&lt;&gt;"",(IFERROR(IF(VLOOKUP(B37,Kitaplar!$A$2:$C$16,3,0)&gt;R37,R37+1,"5"),"")),"")</f>
        <v>5</v>
      </c>
      <c r="R38" s="1">
        <f>IFERROR(IF((VLOOKUP(B38,Kitaplar!$A$2:$C$27,3,0))-Q38&gt;T38,Q38+T38,VLOOKUP(B38,Kitaplar!$A$2:$C$27,3,0)),"")</f>
        <v>75</v>
      </c>
      <c r="S38" s="1">
        <v>10</v>
      </c>
      <c r="T38" s="1">
        <f t="shared" si="4"/>
        <v>70</v>
      </c>
      <c r="U38" s="1">
        <f t="shared" si="5"/>
        <v>22</v>
      </c>
    </row>
    <row r="39" spans="1:21" x14ac:dyDescent="0.25">
      <c r="A39" s="33">
        <f t="shared" si="6"/>
        <v>37</v>
      </c>
      <c r="B39" s="36" t="str">
        <f t="array" ref="B39">IF(P39&lt;&gt;"",(IF(Q39&lt;&gt;"5",B38,INDEX(Kitaplar!$A$2:$A$20,MATCH(B38,Kitaplar!$A$2:$A$21,0)+1,1))),"")</f>
        <v>İşaretü'l İ'caz</v>
      </c>
      <c r="C39" s="33" t="str">
        <f t="shared" si="7"/>
        <v>76 - 146</v>
      </c>
      <c r="D39" s="35" t="str">
        <f>IF(P39&lt;&gt;"",IFERROR(VLOOKUP(P39,AdiSoyadi!$A$2:$E$108,4,0),""),"")</f>
        <v>OKTAY</v>
      </c>
      <c r="E39" s="12"/>
      <c r="F39" s="33" t="str">
        <f t="shared" si="9"/>
        <v/>
      </c>
      <c r="G39" s="36" t="str">
        <f t="array" ref="G39">IF(P89&lt;&gt;"",(IF(Q89&lt;&gt;"5",G38,INDEX(Kitaplar!$A$2:$A$20,MATCH(G38,Kitaplar!$A$2:$A$21,0)+1,1))),"")</f>
        <v/>
      </c>
      <c r="H39" s="33" t="str">
        <f t="shared" si="8"/>
        <v/>
      </c>
      <c r="I39" s="35" t="str">
        <f>IF(P89&lt;&gt;"",IFERROR(VLOOKUP(P89,AdiSoyadi!$A$2:$E$108,4,0),""),"")</f>
        <v/>
      </c>
      <c r="P39" t="str">
        <f t="shared" si="3"/>
        <v>G.10N.23</v>
      </c>
      <c r="Q39" s="1">
        <f>IF(P39&lt;&gt;"",(IFERROR(IF(VLOOKUP(B38,Kitaplar!$A$2:$C$16,3,0)&gt;R38,R38+1,"5"),"")),"")</f>
        <v>76</v>
      </c>
      <c r="R39" s="1">
        <f>IFERROR(IF((VLOOKUP(B39,Kitaplar!$A$2:$C$27,3,0))-Q39&gt;T39,Q39+T39,VLOOKUP(B39,Kitaplar!$A$2:$C$27,3,0)),"")</f>
        <v>146</v>
      </c>
      <c r="S39" s="1">
        <v>10</v>
      </c>
      <c r="T39" s="1">
        <f t="shared" si="4"/>
        <v>70</v>
      </c>
      <c r="U39" s="1">
        <f t="shared" si="5"/>
        <v>23</v>
      </c>
    </row>
    <row r="40" spans="1:21" x14ac:dyDescent="0.25">
      <c r="A40" s="33">
        <f t="shared" si="6"/>
        <v>38</v>
      </c>
      <c r="B40" s="36" t="str">
        <f t="array" ref="B40">IF(P40&lt;&gt;"",(IF(Q40&lt;&gt;"5",B39,INDEX(Kitaplar!$A$2:$A$20,MATCH(B39,Kitaplar!$A$2:$A$21,0)+1,1))),"")</f>
        <v>İşaretü'l İ'caz</v>
      </c>
      <c r="C40" s="33" t="str">
        <f t="shared" si="7"/>
        <v>147 - 217</v>
      </c>
      <c r="D40" s="35" t="str">
        <f>IF(P40&lt;&gt;"",IFERROR(VLOOKUP(P40,AdiSoyadi!$A$2:$E$108,4,0),""),"")</f>
        <v>HARUN</v>
      </c>
      <c r="E40" s="12"/>
      <c r="F40" s="33" t="str">
        <f t="shared" si="9"/>
        <v/>
      </c>
      <c r="G40" s="36" t="str">
        <f t="array" ref="G40">IF(P90&lt;&gt;"",(IF(Q90&lt;&gt;"5",G39,INDEX(Kitaplar!$A$2:$A$20,MATCH(G39,Kitaplar!$A$2:$A$21,0)+1,1))),"")</f>
        <v/>
      </c>
      <c r="H40" s="33" t="str">
        <f t="shared" si="8"/>
        <v/>
      </c>
      <c r="I40" s="35" t="str">
        <f>IF(P90&lt;&gt;"",IFERROR(VLOOKUP(P90,AdiSoyadi!$A$2:$E$108,4,0),""),"")</f>
        <v/>
      </c>
      <c r="P40" t="str">
        <f t="shared" si="3"/>
        <v>G.10N.24</v>
      </c>
      <c r="Q40" s="1">
        <f>IF(P40&lt;&gt;"",(IFERROR(IF(VLOOKUP(B39,Kitaplar!$A$2:$C$16,3,0)&gt;R39,R39+1,"5"),"")),"")</f>
        <v>147</v>
      </c>
      <c r="R40" s="1">
        <f>IFERROR(IF((VLOOKUP(B40,Kitaplar!$A$2:$C$27,3,0))-Q40&gt;T40,Q40+T40,VLOOKUP(B40,Kitaplar!$A$2:$C$27,3,0)),"")</f>
        <v>217</v>
      </c>
      <c r="S40" s="1">
        <v>10</v>
      </c>
      <c r="T40" s="1">
        <f t="shared" si="4"/>
        <v>70</v>
      </c>
      <c r="U40" s="1">
        <f t="shared" si="5"/>
        <v>24</v>
      </c>
    </row>
    <row r="41" spans="1:21" x14ac:dyDescent="0.25">
      <c r="A41" s="33">
        <f t="shared" si="6"/>
        <v>39</v>
      </c>
      <c r="B41" s="36" t="str">
        <f t="array" ref="B41">IF(P41&lt;&gt;"",(IF(Q41&lt;&gt;"5",B40,INDEX(Kitaplar!$A$2:$A$20,MATCH(B40,Kitaplar!$A$2:$A$21,0)+1,1))),"")</f>
        <v>İşaretü'l İ'caz</v>
      </c>
      <c r="C41" s="33" t="str">
        <f t="shared" si="7"/>
        <v>218 - 230</v>
      </c>
      <c r="D41" s="35" t="str">
        <f>IF(P41&lt;&gt;"",IFERROR(VLOOKUP(P41,AdiSoyadi!$A$2:$E$108,4,0),""),"")</f>
        <v>YAVUZ</v>
      </c>
      <c r="E41" s="12"/>
      <c r="F41" s="33" t="str">
        <f t="shared" si="9"/>
        <v/>
      </c>
      <c r="G41" s="36" t="str">
        <f t="array" ref="G41">IF(P91&lt;&gt;"",(IF(Q91&lt;&gt;"5",G40,INDEX(Kitaplar!$A$2:$A$20,MATCH(G40,Kitaplar!$A$2:$A$21,0)+1,1))),"")</f>
        <v/>
      </c>
      <c r="H41" s="33" t="str">
        <f t="shared" si="8"/>
        <v/>
      </c>
      <c r="I41" s="35" t="str">
        <f>IF(P91&lt;&gt;"",IFERROR(VLOOKUP(P91,AdiSoyadi!$A$2:$E$108,4,0),""),"")</f>
        <v/>
      </c>
      <c r="P41" t="str">
        <f t="shared" si="3"/>
        <v>G.10N.25</v>
      </c>
      <c r="Q41" s="1">
        <f>IF(P41&lt;&gt;"",(IFERROR(IF(VLOOKUP(B40,Kitaplar!$A$2:$C$16,3,0)&gt;R40,R40+1,"5"),"")),"")</f>
        <v>218</v>
      </c>
      <c r="R41" s="1">
        <f>IFERROR(IF((VLOOKUP(B41,Kitaplar!$A$2:$C$27,3,0))-Q41&gt;T41,Q41+T41,VLOOKUP(B41,Kitaplar!$A$2:$C$27,3,0)),"")</f>
        <v>230</v>
      </c>
      <c r="S41" s="1">
        <v>10</v>
      </c>
      <c r="T41" s="1">
        <f t="shared" si="4"/>
        <v>70</v>
      </c>
      <c r="U41" s="1">
        <f t="shared" si="5"/>
        <v>25</v>
      </c>
    </row>
    <row r="42" spans="1:21" x14ac:dyDescent="0.25">
      <c r="A42" s="33">
        <f t="shared" si="6"/>
        <v>40</v>
      </c>
      <c r="B42" s="36" t="str">
        <f t="array" ref="B42">IF(P42&lt;&gt;"",(IF(Q42&lt;&gt;"5",B41,INDEX(Kitaplar!$A$2:$A$20,MATCH(B41,Kitaplar!$A$2:$A$21,0)+1,1))),"")</f>
        <v>Tarihçe-i Hayat</v>
      </c>
      <c r="C42" s="33" t="str">
        <f t="shared" si="7"/>
        <v>5 - 75</v>
      </c>
      <c r="D42" s="35" t="str">
        <f>IF(P42&lt;&gt;"",IFERROR(VLOOKUP(P42,AdiSoyadi!$A$2:$E$108,4,0),""),"")</f>
        <v>YAVUZ2</v>
      </c>
      <c r="E42" s="12"/>
      <c r="F42" s="33" t="str">
        <f t="shared" si="9"/>
        <v/>
      </c>
      <c r="G42" s="36" t="str">
        <f t="array" ref="G42">IF(P92&lt;&gt;"",(IF(Q92&lt;&gt;"5",G41,INDEX(Kitaplar!$A$2:$A$20,MATCH(G41,Kitaplar!$A$2:$A$21,0)+1,1))),"")</f>
        <v/>
      </c>
      <c r="H42" s="33" t="str">
        <f t="shared" si="8"/>
        <v/>
      </c>
      <c r="I42" s="35" t="str">
        <f>IF(P92&lt;&gt;"",IFERROR(VLOOKUP(P92,AdiSoyadi!$A$2:$E$108,4,0),""),"")</f>
        <v/>
      </c>
      <c r="P42" t="str">
        <f t="shared" si="3"/>
        <v>G.10N.26</v>
      </c>
      <c r="Q42" s="1" t="str">
        <f>IF(P42&lt;&gt;"",(IFERROR(IF(VLOOKUP(B41,Kitaplar!$A$2:$C$16,3,0)&gt;R41,R41+1,"5"),"")),"")</f>
        <v>5</v>
      </c>
      <c r="R42" s="1">
        <f>IFERROR(IF((VLOOKUP(B42,Kitaplar!$A$2:$C$27,3,0))-Q42&gt;T42,Q42+T42,VLOOKUP(B42,Kitaplar!$A$2:$C$27,3,0)),"")</f>
        <v>75</v>
      </c>
      <c r="S42" s="1">
        <v>10</v>
      </c>
      <c r="T42" s="1">
        <f t="shared" si="4"/>
        <v>70</v>
      </c>
      <c r="U42" s="1">
        <f t="shared" si="5"/>
        <v>26</v>
      </c>
    </row>
    <row r="43" spans="1:21" x14ac:dyDescent="0.25">
      <c r="A43" s="33">
        <f t="shared" si="6"/>
        <v>41</v>
      </c>
      <c r="B43" s="36" t="str">
        <f t="array" ref="B43">IF(P43&lt;&gt;"",(IF(Q43&lt;&gt;"5",B42,INDEX(Kitaplar!$A$2:$A$20,MATCH(B42,Kitaplar!$A$2:$A$21,0)+1,1))),"")</f>
        <v>Tarihçe-i Hayat</v>
      </c>
      <c r="C43" s="33" t="str">
        <f t="shared" si="7"/>
        <v>76 - 146</v>
      </c>
      <c r="D43" s="35" t="str">
        <f>IF(P43&lt;&gt;"",IFERROR(VLOOKUP(P43,AdiSoyadi!$A$2:$E$108,4,0),""),"")</f>
        <v>MEHMET</v>
      </c>
      <c r="E43" s="12"/>
      <c r="F43" s="33" t="str">
        <f t="shared" si="9"/>
        <v/>
      </c>
      <c r="G43" s="36" t="str">
        <f t="array" ref="G43">IF(P93&lt;&gt;"",(IF(Q93&lt;&gt;"5",G42,INDEX(Kitaplar!$A$2:$A$20,MATCH(G42,Kitaplar!$A$2:$A$21,0)+1,1))),"")</f>
        <v/>
      </c>
      <c r="H43" s="33" t="str">
        <f t="shared" si="8"/>
        <v/>
      </c>
      <c r="I43" s="35" t="str">
        <f>IF(P93&lt;&gt;"",IFERROR(VLOOKUP(P93,AdiSoyadi!$A$2:$E$108,4,0),""),"")</f>
        <v/>
      </c>
      <c r="P43" t="str">
        <f t="shared" si="3"/>
        <v>G.10N.27</v>
      </c>
      <c r="Q43" s="1">
        <f>IF(P43&lt;&gt;"",(IFERROR(IF(VLOOKUP(B42,Kitaplar!$A$2:$C$16,3,0)&gt;R42,R42+1,"5"),"")),"")</f>
        <v>76</v>
      </c>
      <c r="R43" s="1">
        <f>IFERROR(IF((VLOOKUP(B43,Kitaplar!$A$2:$C$27,3,0))-Q43&gt;T43,Q43+T43,VLOOKUP(B43,Kitaplar!$A$2:$C$27,3,0)),"")</f>
        <v>146</v>
      </c>
      <c r="S43" s="1">
        <v>10</v>
      </c>
      <c r="T43" s="1">
        <f t="shared" si="4"/>
        <v>70</v>
      </c>
      <c r="U43" s="1">
        <f t="shared" si="5"/>
        <v>27</v>
      </c>
    </row>
    <row r="44" spans="1:21" x14ac:dyDescent="0.25">
      <c r="A44" s="33">
        <f t="shared" si="6"/>
        <v>42</v>
      </c>
      <c r="B44" s="36" t="str">
        <f t="array" ref="B44">IF(P44&lt;&gt;"",(IF(Q44&lt;&gt;"5",B43,INDEX(Kitaplar!$A$2:$A$20,MATCH(B43,Kitaplar!$A$2:$A$21,0)+1,1))),"")</f>
        <v>Tarihçe-i Hayat</v>
      </c>
      <c r="C44" s="33" t="str">
        <f t="shared" si="7"/>
        <v>147 - 217</v>
      </c>
      <c r="D44" s="35" t="str">
        <f>IF(P44&lt;&gt;"",IFERROR(VLOOKUP(P44,AdiSoyadi!$A$2:$E$108,4,0),""),"")</f>
        <v>UMUT</v>
      </c>
      <c r="E44" s="12"/>
      <c r="F44" s="33" t="str">
        <f t="shared" si="9"/>
        <v/>
      </c>
      <c r="G44" s="36" t="str">
        <f t="array" ref="G44">IF(P94&lt;&gt;"",(IF(Q94&lt;&gt;"5",G43,INDEX(Kitaplar!$A$2:$A$20,MATCH(G43,Kitaplar!$A$2:$A$21,0)+1,1))),"")</f>
        <v/>
      </c>
      <c r="H44" s="33" t="str">
        <f t="shared" si="8"/>
        <v/>
      </c>
      <c r="I44" s="35" t="str">
        <f>IF(P94&lt;&gt;"",IFERROR(VLOOKUP(P94,AdiSoyadi!$A$2:$E$108,4,0),""),"")</f>
        <v/>
      </c>
      <c r="P44" t="str">
        <f t="shared" si="3"/>
        <v>G.10N.28</v>
      </c>
      <c r="Q44" s="1">
        <f>IF(P44&lt;&gt;"",(IFERROR(IF(VLOOKUP(B43,Kitaplar!$A$2:$C$16,3,0)&gt;R43,R43+1,"5"),"")),"")</f>
        <v>147</v>
      </c>
      <c r="R44" s="1">
        <f>IFERROR(IF((VLOOKUP(B44,Kitaplar!$A$2:$C$27,3,0))-Q44&gt;T44,Q44+T44,VLOOKUP(B44,Kitaplar!$A$2:$C$27,3,0)),"")</f>
        <v>217</v>
      </c>
      <c r="S44" s="1">
        <v>10</v>
      </c>
      <c r="T44" s="1">
        <f t="shared" si="4"/>
        <v>70</v>
      </c>
      <c r="U44" s="1">
        <f t="shared" si="5"/>
        <v>28</v>
      </c>
    </row>
    <row r="45" spans="1:21" x14ac:dyDescent="0.25">
      <c r="A45" s="33">
        <f t="shared" si="6"/>
        <v>43</v>
      </c>
      <c r="B45" s="36" t="str">
        <f t="array" ref="B45">IF(P45&lt;&gt;"",(IF(Q45&lt;&gt;"5",B44,INDEX(Kitaplar!$A$2:$A$20,MATCH(B44,Kitaplar!$A$2:$A$21,0)+1,1))),"")</f>
        <v>Tarihçe-i Hayat</v>
      </c>
      <c r="C45" s="33" t="str">
        <f t="shared" si="7"/>
        <v>218 - 288</v>
      </c>
      <c r="D45" s="35" t="str">
        <f>IF(P45&lt;&gt;"",IFERROR(VLOOKUP(P45,AdiSoyadi!$A$2:$E$108,4,0),""),"")</f>
        <v>HÜSEYİN CAHİT2</v>
      </c>
      <c r="E45" s="12"/>
      <c r="F45" s="33" t="str">
        <f t="shared" si="9"/>
        <v/>
      </c>
      <c r="G45" s="36" t="str">
        <f t="array" ref="G45">IF(P95&lt;&gt;"",(IF(Q95&lt;&gt;"5",G44,INDEX(Kitaplar!$A$2:$A$20,MATCH(G44,Kitaplar!$A$2:$A$21,0)+1,1))),"")</f>
        <v/>
      </c>
      <c r="H45" s="33" t="str">
        <f t="shared" si="8"/>
        <v/>
      </c>
      <c r="I45" s="35" t="str">
        <f>IF(P95&lt;&gt;"",IFERROR(VLOOKUP(P95,AdiSoyadi!$A$2:$E$108,4,0),""),"")</f>
        <v/>
      </c>
      <c r="P45" t="str">
        <f t="shared" si="3"/>
        <v>G.10N.29</v>
      </c>
      <c r="Q45" s="1">
        <f>IF(P45&lt;&gt;"",(IFERROR(IF(VLOOKUP(B44,Kitaplar!$A$2:$C$16,3,0)&gt;R44,R44+1,"5"),"")),"")</f>
        <v>218</v>
      </c>
      <c r="R45" s="1">
        <f>IFERROR(IF((VLOOKUP(B45,Kitaplar!$A$2:$C$27,3,0))-Q45&gt;T45,Q45+T45,VLOOKUP(B45,Kitaplar!$A$2:$C$27,3,0)),"")</f>
        <v>288</v>
      </c>
      <c r="S45" s="1">
        <v>10</v>
      </c>
      <c r="T45" s="1">
        <f t="shared" si="4"/>
        <v>70</v>
      </c>
      <c r="U45" s="1">
        <f t="shared" si="5"/>
        <v>29</v>
      </c>
    </row>
    <row r="46" spans="1:21" x14ac:dyDescent="0.25">
      <c r="A46" s="33">
        <f t="shared" si="6"/>
        <v>44</v>
      </c>
      <c r="B46" s="36" t="str">
        <f t="array" ref="B46">IF(P46&lt;&gt;"",(IF(Q46&lt;&gt;"5",B45,INDEX(Kitaplar!$A$2:$A$20,MATCH(B45,Kitaplar!$A$2:$A$21,0)+1,1))),"")</f>
        <v>Tarihçe-i Hayat</v>
      </c>
      <c r="C46" s="33" t="str">
        <f t="shared" si="7"/>
        <v>289 - 359</v>
      </c>
      <c r="D46" s="35" t="str">
        <f>IF(P46&lt;&gt;"",IFERROR(VLOOKUP(P46,AdiSoyadi!$A$2:$E$108,4,0),""),"")</f>
        <v>HÜSEYİN CAHİT</v>
      </c>
      <c r="E46" s="12"/>
      <c r="F46" s="33" t="str">
        <f t="shared" si="9"/>
        <v/>
      </c>
      <c r="G46" s="36" t="str">
        <f t="array" ref="G46">IF(P96&lt;&gt;"",(IF(Q96&lt;&gt;"5",G45,INDEX(Kitaplar!$A$2:$A$20,MATCH(G45,Kitaplar!$A$2:$A$21,0)+1,1))),"")</f>
        <v/>
      </c>
      <c r="H46" s="33" t="str">
        <f t="shared" si="8"/>
        <v/>
      </c>
      <c r="I46" s="35" t="str">
        <f>IF(P96&lt;&gt;"",IFERROR(VLOOKUP(P96,AdiSoyadi!$A$2:$E$108,4,0),""),"")</f>
        <v/>
      </c>
      <c r="P46" t="str">
        <f t="shared" si="3"/>
        <v>G.10N.30</v>
      </c>
      <c r="Q46" s="1">
        <f>IF(P46&lt;&gt;"",(IFERROR(IF(VLOOKUP(B45,Kitaplar!$A$2:$C$16,3,0)&gt;R45,R45+1,"5"),"")),"")</f>
        <v>289</v>
      </c>
      <c r="R46" s="1">
        <f>IFERROR(IF((VLOOKUP(B46,Kitaplar!$A$2:$C$27,3,0))-Q46&gt;T46,Q46+T46,VLOOKUP(B46,Kitaplar!$A$2:$C$27,3,0)),"")</f>
        <v>359</v>
      </c>
      <c r="S46" s="1">
        <v>10</v>
      </c>
      <c r="T46" s="1">
        <f t="shared" si="4"/>
        <v>70</v>
      </c>
      <c r="U46" s="1">
        <f t="shared" si="5"/>
        <v>30</v>
      </c>
    </row>
    <row r="47" spans="1:21" x14ac:dyDescent="0.25">
      <c r="A47" s="33">
        <f t="shared" si="6"/>
        <v>45</v>
      </c>
      <c r="B47" s="36" t="str">
        <f t="array" ref="B47">IF(P47&lt;&gt;"",(IF(Q47&lt;&gt;"5",B46,INDEX(Kitaplar!$A$2:$A$20,MATCH(B46,Kitaplar!$A$2:$A$21,0)+1,1))),"")</f>
        <v>Tarihçe-i Hayat</v>
      </c>
      <c r="C47" s="33" t="str">
        <f t="shared" si="7"/>
        <v>360 - 430</v>
      </c>
      <c r="D47" s="35" t="str">
        <f>IF(P47&lt;&gt;"",IFERROR(VLOOKUP(P47,AdiSoyadi!$A$2:$E$108,4,0),""),"")</f>
        <v>HAŞİM ONUR</v>
      </c>
      <c r="E47" s="12"/>
      <c r="F47" s="33" t="str">
        <f t="shared" si="9"/>
        <v/>
      </c>
      <c r="G47" s="36" t="str">
        <f t="array" ref="G47">IF(P97&lt;&gt;"",(IF(Q97&lt;&gt;"5",G46,INDEX(Kitaplar!$A$2:$A$20,MATCH(G46,Kitaplar!$A$2:$A$21,0)+1,1))),"")</f>
        <v/>
      </c>
      <c r="H47" s="33" t="str">
        <f t="shared" si="8"/>
        <v/>
      </c>
      <c r="I47" s="35" t="str">
        <f>IF(P97&lt;&gt;"",IFERROR(VLOOKUP(P97,AdiSoyadi!$A$2:$E$108,4,0),""),"")</f>
        <v/>
      </c>
      <c r="P47" t="str">
        <f t="shared" si="3"/>
        <v>G.10N.31</v>
      </c>
      <c r="Q47" s="1">
        <f>IF(P47&lt;&gt;"",(IFERROR(IF(VLOOKUP(B46,Kitaplar!$A$2:$C$16,3,0)&gt;R46,R46+1,"5"),"")),"")</f>
        <v>360</v>
      </c>
      <c r="R47" s="1">
        <f>IFERROR(IF((VLOOKUP(B47,Kitaplar!$A$2:$C$27,3,0))-Q47&gt;T47,Q47+T47,VLOOKUP(B47,Kitaplar!$A$2:$C$27,3,0)),"")</f>
        <v>430</v>
      </c>
      <c r="S47" s="1">
        <v>10</v>
      </c>
      <c r="T47" s="1">
        <f t="shared" si="4"/>
        <v>70</v>
      </c>
      <c r="U47" s="1">
        <f t="shared" si="5"/>
        <v>31</v>
      </c>
    </row>
    <row r="48" spans="1:21" x14ac:dyDescent="0.25">
      <c r="A48" s="33">
        <f t="shared" si="6"/>
        <v>46</v>
      </c>
      <c r="B48" s="36" t="str">
        <f t="array" ref="B48">IF(P48&lt;&gt;"",(IF(Q48&lt;&gt;"5",B47,INDEX(Kitaplar!$A$2:$A$20,MATCH(B47,Kitaplar!$A$2:$A$21,0)+1,1))),"")</f>
        <v>Tarihçe-i Hayat</v>
      </c>
      <c r="C48" s="33" t="str">
        <f t="shared" si="7"/>
        <v>431 - 501</v>
      </c>
      <c r="D48" s="35" t="str">
        <f>IF(P48&lt;&gt;"",IFERROR(VLOOKUP(P48,AdiSoyadi!$A$2:$E$108,4,0),""),"")</f>
        <v>EYYUP SABRİ</v>
      </c>
      <c r="E48" s="12"/>
      <c r="F48" s="33" t="str">
        <f t="shared" si="9"/>
        <v/>
      </c>
      <c r="G48" s="36" t="str">
        <f t="array" ref="G48">IF(P98&lt;&gt;"",(IF(Q98&lt;&gt;"5",G47,INDEX(Kitaplar!$A$2:$A$20,MATCH(G47,Kitaplar!$A$2:$A$21,0)+1,1))),"")</f>
        <v/>
      </c>
      <c r="H48" s="33" t="str">
        <f t="shared" si="8"/>
        <v/>
      </c>
      <c r="I48" s="35" t="str">
        <f>IF(P98&lt;&gt;"",IFERROR(VLOOKUP(P98,AdiSoyadi!$A$2:$E$108,4,0),""),"")</f>
        <v/>
      </c>
      <c r="P48" t="str">
        <f t="shared" si="3"/>
        <v>G.10N.32</v>
      </c>
      <c r="Q48" s="1">
        <f>IF(P48&lt;&gt;"",(IFERROR(IF(VLOOKUP(B47,Kitaplar!$A$2:$C$16,3,0)&gt;R47,R47+1,"5"),"")),"")</f>
        <v>431</v>
      </c>
      <c r="R48" s="1">
        <f>IFERROR(IF((VLOOKUP(B48,Kitaplar!$A$2:$C$27,3,0))-Q48&gt;T48,Q48+T48,VLOOKUP(B48,Kitaplar!$A$2:$C$27,3,0)),"")</f>
        <v>501</v>
      </c>
      <c r="S48" s="1">
        <v>10</v>
      </c>
      <c r="T48" s="1">
        <f t="shared" si="4"/>
        <v>70</v>
      </c>
      <c r="U48" s="1">
        <f t="shared" si="5"/>
        <v>32</v>
      </c>
    </row>
    <row r="49" spans="1:21" x14ac:dyDescent="0.25">
      <c r="A49" s="33">
        <f t="shared" si="6"/>
        <v>47</v>
      </c>
      <c r="B49" s="36" t="str">
        <f t="array" ref="B49">IF(P49&lt;&gt;"",(IF(Q49&lt;&gt;"5",B48,INDEX(Kitaplar!$A$2:$A$20,MATCH(B48,Kitaplar!$A$2:$A$21,0)+1,1))),"")</f>
        <v>Tarihçe-i Hayat</v>
      </c>
      <c r="C49" s="33" t="str">
        <f t="shared" si="7"/>
        <v>502 - 572</v>
      </c>
      <c r="D49" s="35" t="str">
        <f>IF(P49&lt;&gt;"",IFERROR(VLOOKUP(P49,AdiSoyadi!$A$2:$E$108,4,0),""),"")</f>
        <v>MUSTAFA3</v>
      </c>
      <c r="E49" s="12"/>
      <c r="F49" s="33" t="str">
        <f t="shared" si="9"/>
        <v/>
      </c>
      <c r="G49" s="36" t="str">
        <f t="array" ref="G49">IF(P99&lt;&gt;"",(IF(Q99&lt;&gt;"5",G48,INDEX(Kitaplar!$A$2:$A$20,MATCH(G48,Kitaplar!$A$2:$A$21,0)+1,1))),"")</f>
        <v/>
      </c>
      <c r="H49" s="33" t="str">
        <f t="shared" si="8"/>
        <v/>
      </c>
      <c r="I49" s="35" t="str">
        <f>IF(P99&lt;&gt;"",IFERROR(VLOOKUP(P99,AdiSoyadi!$A$2:$E$108,4,0),""),"")</f>
        <v/>
      </c>
      <c r="P49" t="str">
        <f t="shared" si="3"/>
        <v>G.10N.33</v>
      </c>
      <c r="Q49" s="1">
        <f>IF(P49&lt;&gt;"",(IFERROR(IF(VLOOKUP(B48,Kitaplar!$A$2:$C$16,3,0)&gt;R48,R48+1,"5"),"")),"")</f>
        <v>502</v>
      </c>
      <c r="R49" s="1">
        <f>IFERROR(IF((VLOOKUP(B49,Kitaplar!$A$2:$C$27,3,0))-Q49&gt;T49,Q49+T49,VLOOKUP(B49,Kitaplar!$A$2:$C$27,3,0)),"")</f>
        <v>572</v>
      </c>
      <c r="S49" s="1">
        <v>10</v>
      </c>
      <c r="T49" s="1">
        <f t="shared" si="4"/>
        <v>70</v>
      </c>
      <c r="U49" s="1">
        <f t="shared" si="5"/>
        <v>33</v>
      </c>
    </row>
    <row r="50" spans="1:21" x14ac:dyDescent="0.25">
      <c r="A50" s="33">
        <f t="shared" si="6"/>
        <v>48</v>
      </c>
      <c r="B50" s="36" t="str">
        <f t="array" ref="B50">IF(P50&lt;&gt;"",(IF(Q50&lt;&gt;"5",B49,INDEX(Kitaplar!$A$2:$A$20,MATCH(B49,Kitaplar!$A$2:$A$21,0)+1,1))),"")</f>
        <v>Tarihçe-i Hayat</v>
      </c>
      <c r="C50" s="33" t="str">
        <f t="shared" si="7"/>
        <v>573 - 643</v>
      </c>
      <c r="D50" s="35" t="str">
        <f>IF(P50&lt;&gt;"",IFERROR(VLOOKUP(P50,AdiSoyadi!$A$2:$E$108,4,0),""),"")</f>
        <v>MUSTAFA</v>
      </c>
      <c r="E50" s="12"/>
      <c r="F50" s="33" t="str">
        <f t="shared" si="9"/>
        <v/>
      </c>
      <c r="G50" s="36" t="str">
        <f t="array" ref="G50">IF(P100&lt;&gt;"",(IF(Q100&lt;&gt;"5",G49,INDEX(Kitaplar!$A$2:$A$20,MATCH(G49,Kitaplar!$A$2:$A$21,0)+1,1))),"")</f>
        <v/>
      </c>
      <c r="H50" s="33" t="str">
        <f t="shared" si="8"/>
        <v/>
      </c>
      <c r="I50" s="35" t="str">
        <f>IF(P100&lt;&gt;"",IFERROR(VLOOKUP(P100,AdiSoyadi!$A$2:$E$108,4,0),""),"")</f>
        <v/>
      </c>
      <c r="P50" t="str">
        <f t="shared" si="3"/>
        <v>G.10N.34</v>
      </c>
      <c r="Q50" s="1">
        <f>IF(P50&lt;&gt;"",(IFERROR(IF(VLOOKUP(B49,Kitaplar!$A$2:$C$16,3,0)&gt;R49,R49+1,"5"),"")),"")</f>
        <v>573</v>
      </c>
      <c r="R50" s="1">
        <f>IFERROR(IF((VLOOKUP(B50,Kitaplar!$A$2:$C$27,3,0))-Q50&gt;T50,Q50+T50,VLOOKUP(B50,Kitaplar!$A$2:$C$27,3,0)),"")</f>
        <v>643</v>
      </c>
      <c r="S50" s="1">
        <v>10</v>
      </c>
      <c r="T50" s="1">
        <f t="shared" si="4"/>
        <v>70</v>
      </c>
      <c r="U50" s="1">
        <f t="shared" si="5"/>
        <v>34</v>
      </c>
    </row>
    <row r="51" spans="1:21" x14ac:dyDescent="0.25">
      <c r="A51" s="33">
        <f t="shared" si="6"/>
        <v>49</v>
      </c>
      <c r="B51" s="36" t="str">
        <f t="array" ref="B51">IF(P51&lt;&gt;"",(IF(Q51&lt;&gt;"5",B50,INDEX(Kitaplar!$A$2:$A$20,MATCH(B50,Kitaplar!$A$2:$A$21,0)+1,1))),"")</f>
        <v>Tarihçe-i Hayat</v>
      </c>
      <c r="C51" s="33" t="str">
        <f t="shared" si="7"/>
        <v>644 - 714</v>
      </c>
      <c r="D51" s="35" t="str">
        <f>IF(P51&lt;&gt;"",IFERROR(VLOOKUP(P51,AdiSoyadi!$A$2:$E$108,4,0),""),"")</f>
        <v>UFUK</v>
      </c>
      <c r="E51" s="12"/>
      <c r="F51" s="33" t="str">
        <f t="shared" si="9"/>
        <v/>
      </c>
      <c r="G51" s="36" t="str">
        <f t="array" ref="G51">IF(P101&lt;&gt;"",(IF(Q101&lt;&gt;"5",G50,INDEX(Kitaplar!$A$2:$A$20,MATCH(G50,Kitaplar!$A$2:$A$21,0)+1,1))),"")</f>
        <v/>
      </c>
      <c r="H51" s="33" t="str">
        <f t="shared" si="8"/>
        <v/>
      </c>
      <c r="I51" s="35" t="str">
        <f>IF(P101&lt;&gt;"",IFERROR(VLOOKUP(P101,AdiSoyadi!$A$2:$E$108,4,0),""),"")</f>
        <v/>
      </c>
      <c r="P51" t="str">
        <f t="shared" si="3"/>
        <v>G.10N.35</v>
      </c>
      <c r="Q51" s="1">
        <f>IF(P51&lt;&gt;"",(IFERROR(IF(VLOOKUP(B50,Kitaplar!$A$2:$C$16,3,0)&gt;R50,R50+1,"5"),"")),"")</f>
        <v>644</v>
      </c>
      <c r="R51" s="1">
        <f>IFERROR(IF((VLOOKUP(B51,Kitaplar!$A$2:$C$27,3,0))-Q51&gt;T51,Q51+T51,VLOOKUP(B51,Kitaplar!$A$2:$C$27,3,0)),"")</f>
        <v>714</v>
      </c>
      <c r="S51" s="1">
        <v>10</v>
      </c>
      <c r="T51" s="1">
        <f t="shared" si="4"/>
        <v>70</v>
      </c>
      <c r="U51" s="1">
        <f t="shared" si="5"/>
        <v>35</v>
      </c>
    </row>
    <row r="52" spans="1:21" x14ac:dyDescent="0.25">
      <c r="A52" s="33">
        <f t="shared" si="6"/>
        <v>50</v>
      </c>
      <c r="B52" s="36" t="str">
        <f t="array" ref="B52">IF(P52&lt;&gt;"",(IF(Q52&lt;&gt;"5",B51,INDEX(Kitaplar!$A$2:$A$20,MATCH(B51,Kitaplar!$A$2:$A$21,0)+1,1))),"")</f>
        <v>Tarihçe-i Hayat</v>
      </c>
      <c r="C52" s="33" t="str">
        <f t="shared" si="7"/>
        <v>715 - 740</v>
      </c>
      <c r="D52" s="35" t="str">
        <f>IF(P52&lt;&gt;"",IFERROR(VLOOKUP(P52,AdiSoyadi!$A$2:$E$108,4,0),""),"")</f>
        <v>AHMET ALİ</v>
      </c>
      <c r="E52" s="12"/>
      <c r="F52" s="33" t="str">
        <f t="shared" si="9"/>
        <v/>
      </c>
      <c r="G52" s="36" t="str">
        <f t="array" ref="G52">IF(P102&lt;&gt;"",(IF(Q102&lt;&gt;"5",G51,INDEX(Kitaplar!$A$2:$A$20,MATCH(G51,Kitaplar!$A$2:$A$21,0)+1,1))),"")</f>
        <v/>
      </c>
      <c r="H52" s="33" t="str">
        <f t="shared" si="8"/>
        <v/>
      </c>
      <c r="I52" s="35" t="str">
        <f>IF(P102&lt;&gt;"",IFERROR(VLOOKUP(P102,AdiSoyadi!$A$2:$E$108,4,0),""),"")</f>
        <v/>
      </c>
      <c r="P52" t="str">
        <f t="shared" si="3"/>
        <v>G.10N.36</v>
      </c>
      <c r="Q52" s="1">
        <f>IF(P52&lt;&gt;"",(IFERROR(IF(VLOOKUP(B51,Kitaplar!$A$2:$C$16,3,0)&gt;R51,R51+1,"5"),"")),"")</f>
        <v>715</v>
      </c>
      <c r="R52" s="1">
        <f>IFERROR(IF((VLOOKUP(B52,Kitaplar!$A$2:$C$27,3,0))-Q52&gt;T52,Q52+T52,VLOOKUP(B52,Kitaplar!$A$2:$C$27,3,0)),"")</f>
        <v>740</v>
      </c>
      <c r="S52" s="1">
        <v>10</v>
      </c>
      <c r="T52" s="1">
        <f t="shared" si="4"/>
        <v>70</v>
      </c>
      <c r="U52" s="1">
        <f t="shared" si="5"/>
        <v>36</v>
      </c>
    </row>
    <row r="53" spans="1:21" x14ac:dyDescent="0.25">
      <c r="P53" t="str">
        <f t="shared" si="3"/>
        <v>G.10N.37</v>
      </c>
      <c r="Q53" s="1" t="str">
        <f>IF(P53&lt;&gt;"",(IFERROR(IF(VLOOKUP(B52,Kitaplar!$A$2:$C$16,3,0)&gt;R52,R52+1,"5"),"")),"")</f>
        <v>5</v>
      </c>
      <c r="R53" s="1">
        <f>IFERROR(IF((VLOOKUP(G3,Kitaplar!$A$2:$C$27,3,0))-Q53&gt;T53,Q53+T53,VLOOKUP(G3,Kitaplar!$A$2:$C$27,3,0)),"")</f>
        <v>75</v>
      </c>
      <c r="S53" s="1">
        <v>10</v>
      </c>
      <c r="T53" s="1">
        <f t="shared" ref="T53:T67" si="10">IF(S53&lt;&gt;"",S53*7,"")</f>
        <v>70</v>
      </c>
      <c r="U53" s="1">
        <f t="shared" si="5"/>
        <v>37</v>
      </c>
    </row>
    <row r="54" spans="1:21" x14ac:dyDescent="0.25">
      <c r="P54" t="str">
        <f t="shared" si="3"/>
        <v>G.10N.38</v>
      </c>
      <c r="Q54" s="1">
        <f>IF(P54&lt;&gt;"",(IFERROR(IF(VLOOKUP(G3,Kitaplar!$A$2:$C$16,3,0)&gt;R53,R53+1,"5"),"")),"")</f>
        <v>76</v>
      </c>
      <c r="R54" s="1">
        <f>IFERROR(IF((VLOOKUP(G4,Kitaplar!$A$2:$C$27,3,0))-Q54&gt;T54,Q54+T54,VLOOKUP(G4,Kitaplar!$A$2:$C$27,3,0)),"")</f>
        <v>146</v>
      </c>
      <c r="S54" s="1">
        <v>10</v>
      </c>
      <c r="T54" s="1">
        <f t="shared" si="10"/>
        <v>70</v>
      </c>
      <c r="U54" s="1">
        <f t="shared" si="5"/>
        <v>38</v>
      </c>
    </row>
    <row r="55" spans="1:21" x14ac:dyDescent="0.25">
      <c r="P55" t="str">
        <f t="shared" si="3"/>
        <v>G.10N.39</v>
      </c>
      <c r="Q55" s="1">
        <f>IF(P55&lt;&gt;"",(IFERROR(IF(VLOOKUP(G4,Kitaplar!$A$2:$C$16,3,0)&gt;R54,R54+1,"5"),"")),"")</f>
        <v>147</v>
      </c>
      <c r="R55" s="1">
        <f>IFERROR(IF((VLOOKUP(G5,Kitaplar!$A$2:$C$27,3,0))-Q55&gt;T55,Q55+T55,VLOOKUP(G5,Kitaplar!$A$2:$C$27,3,0)),"")</f>
        <v>217</v>
      </c>
      <c r="S55" s="1">
        <v>10</v>
      </c>
      <c r="T55" s="1">
        <f t="shared" si="10"/>
        <v>70</v>
      </c>
      <c r="U55" s="1">
        <f t="shared" si="5"/>
        <v>39</v>
      </c>
    </row>
    <row r="56" spans="1:21" x14ac:dyDescent="0.25">
      <c r="P56" t="str">
        <f t="shared" si="3"/>
        <v>G.10N.40</v>
      </c>
      <c r="Q56" s="1">
        <f>IF(P56&lt;&gt;"",(IFERROR(IF(VLOOKUP(G5,Kitaplar!$A$2:$C$16,3,0)&gt;R55,R55+1,"5"),"")),"")</f>
        <v>218</v>
      </c>
      <c r="R56" s="1">
        <f>IFERROR(IF((VLOOKUP(G6,Kitaplar!$A$2:$C$27,3,0))-Q56&gt;T56,Q56+T56,VLOOKUP(G6,Kitaplar!$A$2:$C$27,3,0)),"")</f>
        <v>288</v>
      </c>
      <c r="S56" s="1">
        <v>10</v>
      </c>
      <c r="T56" s="1">
        <f t="shared" si="10"/>
        <v>70</v>
      </c>
      <c r="U56" s="1">
        <f t="shared" si="5"/>
        <v>40</v>
      </c>
    </row>
    <row r="57" spans="1:21" x14ac:dyDescent="0.25">
      <c r="P57" t="str">
        <f t="shared" si="3"/>
        <v>G.5N.1</v>
      </c>
      <c r="Q57" s="1">
        <f>IF(P57&lt;&gt;"",(IFERROR(IF(VLOOKUP(G6,Kitaplar!$A$2:$C$16,3,0)&gt;R56,R56+1,"5"),"")),"")</f>
        <v>289</v>
      </c>
      <c r="R57" s="1">
        <f>IFERROR(IF((VLOOKUP(G7,Kitaplar!$A$2:$C$27,3,0))-Q57&gt;T57,Q57+T57,VLOOKUP(G7,Kitaplar!$A$2:$C$27,3,0)),"")</f>
        <v>324</v>
      </c>
      <c r="S57" s="1">
        <v>5</v>
      </c>
      <c r="T57" s="1">
        <f t="shared" si="10"/>
        <v>35</v>
      </c>
      <c r="U57" s="1">
        <f t="shared" si="5"/>
        <v>1</v>
      </c>
    </row>
    <row r="58" spans="1:21" x14ac:dyDescent="0.25">
      <c r="P58" t="str">
        <f t="shared" si="3"/>
        <v>G.5N.2</v>
      </c>
      <c r="Q58" s="1">
        <f>IF(P58&lt;&gt;"",(IFERROR(IF(VLOOKUP(G7,Kitaplar!$A$2:$C$16,3,0)&gt;R57,R57+1,"5"),"")),"")</f>
        <v>325</v>
      </c>
      <c r="R58" s="1">
        <f>IFERROR(IF((VLOOKUP(G8,Kitaplar!$A$2:$C$27,3,0))-Q58&gt;T58,Q58+T58,VLOOKUP(G8,Kitaplar!$A$2:$C$27,3,0)),"")</f>
        <v>360</v>
      </c>
      <c r="S58" s="1">
        <v>5</v>
      </c>
      <c r="T58" s="1">
        <f t="shared" si="10"/>
        <v>35</v>
      </c>
      <c r="U58" s="1">
        <f t="shared" si="5"/>
        <v>2</v>
      </c>
    </row>
    <row r="59" spans="1:21" x14ac:dyDescent="0.25">
      <c r="P59" t="str">
        <f t="shared" si="3"/>
        <v>G.5N.3</v>
      </c>
      <c r="Q59" s="1">
        <f>IF(P59&lt;&gt;"",(IFERROR(IF(VLOOKUP(G8,Kitaplar!$A$2:$C$16,3,0)&gt;R58,R58+1,"5"),"")),"")</f>
        <v>361</v>
      </c>
      <c r="R59" s="1">
        <f>IFERROR(IF((VLOOKUP(G9,Kitaplar!$A$2:$C$27,3,0))-Q59&gt;T59,Q59+T59,VLOOKUP(G9,Kitaplar!$A$2:$C$27,3,0)),"")</f>
        <v>384</v>
      </c>
      <c r="S59" s="1">
        <v>5</v>
      </c>
      <c r="T59" s="1">
        <f t="shared" si="10"/>
        <v>35</v>
      </c>
      <c r="U59" s="1">
        <f t="shared" si="5"/>
        <v>3</v>
      </c>
    </row>
    <row r="60" spans="1:21" x14ac:dyDescent="0.25">
      <c r="P60" t="str">
        <f t="shared" si="3"/>
        <v>G.5N.4</v>
      </c>
      <c r="Q60" s="1" t="str">
        <f>IF(P60&lt;&gt;"",(IFERROR(IF(VLOOKUP(G9,Kitaplar!$A$2:$C$16,3,0)&gt;R59,R59+1,"5"),"")),"")</f>
        <v>5</v>
      </c>
      <c r="R60" s="1">
        <f>IFERROR(IF((VLOOKUP(G10,Kitaplar!$A$2:$C$27,3,0))-Q60&gt;T60,Q60+T60,VLOOKUP(G10,Kitaplar!$A$2:$C$27,3,0)),"")</f>
        <v>40</v>
      </c>
      <c r="S60" s="1">
        <v>5</v>
      </c>
      <c r="T60" s="1">
        <f t="shared" si="10"/>
        <v>35</v>
      </c>
      <c r="U60" s="1">
        <f t="shared" si="5"/>
        <v>4</v>
      </c>
    </row>
    <row r="61" spans="1:21" x14ac:dyDescent="0.25">
      <c r="P61" t="str">
        <f t="shared" si="3"/>
        <v>G.5N.5</v>
      </c>
      <c r="Q61" s="1">
        <f>IF(P61&lt;&gt;"",(IFERROR(IF(VLOOKUP(G10,Kitaplar!$A$2:$C$16,3,0)&gt;R60,R60+1,"5"),"")),"")</f>
        <v>41</v>
      </c>
      <c r="R61" s="1">
        <f>IFERROR(IF((VLOOKUP(G11,Kitaplar!$A$2:$C$27,3,0))-Q61&gt;T61,Q61+T61,VLOOKUP(G11,Kitaplar!$A$2:$C$27,3,0)),"")</f>
        <v>76</v>
      </c>
      <c r="S61" s="1">
        <v>5</v>
      </c>
      <c r="T61" s="1">
        <f t="shared" si="10"/>
        <v>35</v>
      </c>
      <c r="U61" s="1">
        <f t="shared" si="5"/>
        <v>5</v>
      </c>
    </row>
    <row r="62" spans="1:21" x14ac:dyDescent="0.25">
      <c r="P62" t="str">
        <f t="shared" si="3"/>
        <v>G.5N.6</v>
      </c>
      <c r="Q62" s="1">
        <f>IF(P62&lt;&gt;"",(IFERROR(IF(VLOOKUP(G11,Kitaplar!$A$2:$C$16,3,0)&gt;R61,R61+1,"5"),"")),"")</f>
        <v>77</v>
      </c>
      <c r="R62" s="1">
        <f>IFERROR(IF((VLOOKUP(G12,Kitaplar!$A$2:$C$27,3,0))-Q62&gt;T62,Q62+T62,VLOOKUP(G12,Kitaplar!$A$2:$C$27,3,0)),"")</f>
        <v>112</v>
      </c>
      <c r="S62" s="1">
        <v>5</v>
      </c>
      <c r="T62" s="1">
        <f t="shared" si="10"/>
        <v>35</v>
      </c>
      <c r="U62" s="1">
        <f t="shared" si="5"/>
        <v>6</v>
      </c>
    </row>
    <row r="63" spans="1:21" x14ac:dyDescent="0.25">
      <c r="P63" t="str">
        <f t="shared" si="3"/>
        <v>G.5N.7</v>
      </c>
      <c r="Q63" s="1">
        <f>IF(P63&lt;&gt;"",(IFERROR(IF(VLOOKUP(G12,Kitaplar!$A$2:$C$16,3,0)&gt;R62,R62+1,"5"),"")),"")</f>
        <v>113</v>
      </c>
      <c r="R63" s="1">
        <f>IFERROR(IF((VLOOKUP(G13,Kitaplar!$A$2:$C$27,3,0))-Q63&gt;T63,Q63+T63,VLOOKUP(G13,Kitaplar!$A$2:$C$27,3,0)),"")</f>
        <v>148</v>
      </c>
      <c r="S63" s="1">
        <v>5</v>
      </c>
      <c r="T63" s="1">
        <f t="shared" si="10"/>
        <v>35</v>
      </c>
      <c r="U63" s="1">
        <f t="shared" si="5"/>
        <v>7</v>
      </c>
    </row>
    <row r="64" spans="1:21" x14ac:dyDescent="0.25">
      <c r="P64" t="str">
        <f t="shared" si="3"/>
        <v>G.5N.8</v>
      </c>
      <c r="Q64" s="1">
        <f>IF(P64&lt;&gt;"",(IFERROR(IF(VLOOKUP(G13,Kitaplar!$A$2:$C$16,3,0)&gt;R63,R63+1,"5"),"")),"")</f>
        <v>149</v>
      </c>
      <c r="R64" s="1">
        <f>IFERROR(IF((VLOOKUP(G14,Kitaplar!$A$2:$C$27,3,0))-Q64&gt;T64,Q64+T64,VLOOKUP(G14,Kitaplar!$A$2:$C$27,3,0)),"")</f>
        <v>184</v>
      </c>
      <c r="S64" s="1">
        <v>5</v>
      </c>
      <c r="T64" s="1">
        <f t="shared" si="10"/>
        <v>35</v>
      </c>
      <c r="U64" s="1">
        <f t="shared" si="5"/>
        <v>8</v>
      </c>
    </row>
    <row r="65" spans="16:21" x14ac:dyDescent="0.25">
      <c r="P65" t="str">
        <f t="shared" si="3"/>
        <v>G.5N.9</v>
      </c>
      <c r="Q65" s="1">
        <f>IF(P65&lt;&gt;"",(IFERROR(IF(VLOOKUP(G14,Kitaplar!$A$2:$C$16,3,0)&gt;R64,R64+1,"5"),"")),"")</f>
        <v>185</v>
      </c>
      <c r="R65" s="1">
        <f>IFERROR(IF((VLOOKUP(G15,Kitaplar!$A$2:$C$27,3,0))-Q65&gt;T65,Q65+T65,VLOOKUP(G15,Kitaplar!$A$2:$C$27,3,0)),"")</f>
        <v>220</v>
      </c>
      <c r="S65" s="1">
        <v>5</v>
      </c>
      <c r="T65" s="1">
        <f t="shared" si="10"/>
        <v>35</v>
      </c>
      <c r="U65" s="1">
        <f t="shared" si="5"/>
        <v>9</v>
      </c>
    </row>
    <row r="66" spans="16:21" x14ac:dyDescent="0.25">
      <c r="P66" t="str">
        <f t="shared" si="3"/>
        <v>G.5N.10</v>
      </c>
      <c r="Q66" s="1">
        <f>IF(P66&lt;&gt;"",(IFERROR(IF(VLOOKUP(G15,Kitaplar!$A$2:$C$16,3,0)&gt;R65,R65+1,"5"),"")),"")</f>
        <v>221</v>
      </c>
      <c r="R66" s="1">
        <f>IFERROR(IF((VLOOKUP(G16,Kitaplar!$A$2:$C$27,3,0))-Q66&gt;T66,Q66+T66,VLOOKUP(G16,Kitaplar!$A$2:$C$27,3,0)),"")</f>
        <v>256</v>
      </c>
      <c r="S66" s="1">
        <v>5</v>
      </c>
      <c r="T66" s="1">
        <f t="shared" si="10"/>
        <v>35</v>
      </c>
      <c r="U66" s="1">
        <f t="shared" si="5"/>
        <v>10</v>
      </c>
    </row>
    <row r="67" spans="16:21" x14ac:dyDescent="0.25">
      <c r="P67" t="str">
        <f t="shared" si="3"/>
        <v>G.5N.11</v>
      </c>
      <c r="Q67" s="1">
        <f>IF(P67&lt;&gt;"",(IFERROR(IF(VLOOKUP(G16,Kitaplar!$A$2:$C$16,3,0)&gt;R66,R66+1,"5"),"")),"")</f>
        <v>257</v>
      </c>
      <c r="R67" s="1">
        <f>IFERROR(IF((VLOOKUP(G17,Kitaplar!$A$2:$C$27,3,0))-Q67&gt;T67,Q67+T67,VLOOKUP(G17,Kitaplar!$A$2:$C$27,3,0)),"")</f>
        <v>268</v>
      </c>
      <c r="S67" s="1">
        <v>5</v>
      </c>
      <c r="T67" s="1">
        <f t="shared" si="10"/>
        <v>35</v>
      </c>
      <c r="U67" s="1">
        <f t="shared" si="5"/>
        <v>11</v>
      </c>
    </row>
    <row r="68" spans="16:21" x14ac:dyDescent="0.25">
      <c r="P68" t="str">
        <f t="shared" ref="P68:P102" si="11">IF(S68="","","G."&amp;S68&amp;"N."&amp;U68)</f>
        <v>G.5N.12</v>
      </c>
      <c r="Q68" s="1" t="str">
        <f>IF(P68&lt;&gt;"",(IFERROR(IF(VLOOKUP(G17,Kitaplar!$A$2:$C$16,3,0)&gt;R67,R67+1,"5"),"")),"")</f>
        <v>5</v>
      </c>
      <c r="R68" s="1">
        <f>IFERROR(IF((VLOOKUP(G18,Kitaplar!$A$2:$C$27,3,0))-Q68&gt;T68,Q68+T68,VLOOKUP(G18,Kitaplar!$A$2:$C$27,3,0)),"")</f>
        <v>40</v>
      </c>
      <c r="S68" s="1">
        <v>5</v>
      </c>
      <c r="T68" s="1">
        <f t="shared" ref="T68:T102" si="12">IF(S68&lt;&gt;"",S68*7,"")</f>
        <v>35</v>
      </c>
      <c r="U68" s="1">
        <f t="shared" ref="U68:U92" si="13">IF(S68="","",IF(S67=S68,U67+1,1))</f>
        <v>12</v>
      </c>
    </row>
    <row r="69" spans="16:21" x14ac:dyDescent="0.25">
      <c r="P69" t="str">
        <f t="shared" si="11"/>
        <v>G.5N.13</v>
      </c>
      <c r="Q69" s="1">
        <f>IF(P69&lt;&gt;"",(IFERROR(IF(VLOOKUP(G18,Kitaplar!$A$2:$C$16,3,0)&gt;R68,R68+1,"5"),"")),"")</f>
        <v>41</v>
      </c>
      <c r="R69" s="1">
        <f>IFERROR(IF((VLOOKUP(G19,Kitaplar!$A$2:$C$27,3,0))-Q69&gt;T69,Q69+T69,VLOOKUP(G19,Kitaplar!$A$2:$C$27,3,0)),"")</f>
        <v>76</v>
      </c>
      <c r="S69" s="1">
        <v>5</v>
      </c>
      <c r="T69" s="1">
        <f t="shared" si="12"/>
        <v>35</v>
      </c>
      <c r="U69" s="1">
        <f t="shared" si="13"/>
        <v>13</v>
      </c>
    </row>
    <row r="70" spans="16:21" x14ac:dyDescent="0.25">
      <c r="P70" t="str">
        <f t="shared" si="11"/>
        <v>G.5N.14</v>
      </c>
      <c r="Q70" s="1">
        <f>IF(P70&lt;&gt;"",(IFERROR(IF(VLOOKUP(G19,Kitaplar!$A$2:$C$16,3,0)&gt;R69,R69+1,"5"),"")),"")</f>
        <v>77</v>
      </c>
      <c r="R70" s="1">
        <f>IFERROR(IF((VLOOKUP(G20,Kitaplar!$A$2:$C$27,3,0))-Q70&gt;T70,Q70+T70,VLOOKUP(G20,Kitaplar!$A$2:$C$27,3,0)),"")</f>
        <v>112</v>
      </c>
      <c r="S70" s="1">
        <v>5</v>
      </c>
      <c r="T70" s="1">
        <f t="shared" si="12"/>
        <v>35</v>
      </c>
      <c r="U70" s="1">
        <f t="shared" si="13"/>
        <v>14</v>
      </c>
    </row>
    <row r="71" spans="16:21" x14ac:dyDescent="0.25">
      <c r="P71" t="str">
        <f t="shared" si="11"/>
        <v>G.5N.15</v>
      </c>
      <c r="Q71" s="1">
        <f>IF(P71&lt;&gt;"",(IFERROR(IF(VLOOKUP(G20,Kitaplar!$A$2:$C$16,3,0)&gt;R70,R70+1,"5"),"")),"")</f>
        <v>113</v>
      </c>
      <c r="R71" s="1">
        <f>IFERROR(IF((VLOOKUP(G21,Kitaplar!$A$2:$C$27,3,0))-Q71&gt;T71,Q71+T71,VLOOKUP(G21,Kitaplar!$A$2:$C$27,3,0)),"")</f>
        <v>148</v>
      </c>
      <c r="S71" s="1">
        <v>5</v>
      </c>
      <c r="T71" s="1">
        <f t="shared" si="12"/>
        <v>35</v>
      </c>
      <c r="U71" s="1">
        <f t="shared" si="13"/>
        <v>15</v>
      </c>
    </row>
    <row r="72" spans="16:21" x14ac:dyDescent="0.25">
      <c r="P72" t="str">
        <f t="shared" si="11"/>
        <v>G.5N.16</v>
      </c>
      <c r="Q72" s="1">
        <f>IF(P72&lt;&gt;"",(IFERROR(IF(VLOOKUP(G21,Kitaplar!$A$2:$C$16,3,0)&gt;R71,R71+1,"5"),"")),"")</f>
        <v>149</v>
      </c>
      <c r="R72" s="1">
        <f>IFERROR(IF((VLOOKUP(G22,Kitaplar!$A$2:$C$27,3,0))-Q72&gt;T72,Q72+T72,VLOOKUP(G22,Kitaplar!$A$2:$C$27,3,0)),"")</f>
        <v>184</v>
      </c>
      <c r="S72" s="1">
        <v>5</v>
      </c>
      <c r="T72" s="1">
        <f t="shared" si="12"/>
        <v>35</v>
      </c>
      <c r="U72" s="1">
        <f t="shared" si="13"/>
        <v>16</v>
      </c>
    </row>
    <row r="73" spans="16:21" x14ac:dyDescent="0.25">
      <c r="P73" t="str">
        <f t="shared" si="11"/>
        <v>G.5N.17</v>
      </c>
      <c r="Q73" s="1">
        <f>IF(P73&lt;&gt;"",(IFERROR(IF(VLOOKUP(G22,Kitaplar!$A$2:$C$16,3,0)&gt;R72,R72+1,"5"),"")),"")</f>
        <v>185</v>
      </c>
      <c r="R73" s="1">
        <f>IFERROR(IF((VLOOKUP(G23,Kitaplar!$A$2:$C$27,3,0))-Q73&gt;T73,Q73+T73,VLOOKUP(G23,Kitaplar!$A$2:$C$27,3,0)),"")</f>
        <v>220</v>
      </c>
      <c r="S73" s="1">
        <v>5</v>
      </c>
      <c r="T73" s="1">
        <f t="shared" si="12"/>
        <v>35</v>
      </c>
      <c r="U73" s="1">
        <f t="shared" si="13"/>
        <v>17</v>
      </c>
    </row>
    <row r="74" spans="16:21" x14ac:dyDescent="0.25">
      <c r="P74" t="str">
        <f t="shared" si="11"/>
        <v>G.5N.18</v>
      </c>
      <c r="Q74" s="1">
        <f>IF(P74&lt;&gt;"",(IFERROR(IF(VLOOKUP(G23,Kitaplar!$A$2:$C$16,3,0)&gt;R73,R73+1,"5"),"")),"")</f>
        <v>221</v>
      </c>
      <c r="R74" s="1">
        <f>IFERROR(IF((VLOOKUP(G24,Kitaplar!$A$2:$C$27,3,0))-Q74&gt;T74,Q74+T74,VLOOKUP(G24,Kitaplar!$A$2:$C$27,3,0)),"")</f>
        <v>256</v>
      </c>
      <c r="S74" s="1">
        <v>5</v>
      </c>
      <c r="T74" s="1">
        <f t="shared" si="12"/>
        <v>35</v>
      </c>
      <c r="U74" s="1">
        <f t="shared" si="13"/>
        <v>18</v>
      </c>
    </row>
    <row r="75" spans="16:21" x14ac:dyDescent="0.25">
      <c r="P75" t="str">
        <f t="shared" si="11"/>
        <v>G.5N.19</v>
      </c>
      <c r="Q75" s="1">
        <f>IF(P75&lt;&gt;"",(IFERROR(IF(VLOOKUP(G24,Kitaplar!$A$2:$C$16,3,0)&gt;R74,R74+1,"5"),"")),"")</f>
        <v>257</v>
      </c>
      <c r="R75" s="1">
        <f>IFERROR(IF((VLOOKUP(G25,Kitaplar!$A$2:$C$27,3,0))-Q75&gt;T75,Q75+T75,VLOOKUP(G25,Kitaplar!$A$2:$C$27,3,0)),"")</f>
        <v>288</v>
      </c>
      <c r="S75" s="1">
        <v>5</v>
      </c>
      <c r="T75" s="1">
        <f t="shared" si="12"/>
        <v>35</v>
      </c>
      <c r="U75" s="1">
        <f t="shared" si="13"/>
        <v>19</v>
      </c>
    </row>
    <row r="76" spans="16:21" x14ac:dyDescent="0.25">
      <c r="P76" t="str">
        <f t="shared" si="11"/>
        <v>G.5N.20</v>
      </c>
      <c r="Q76" s="1" t="str">
        <f>IF(P76&lt;&gt;"",(IFERROR(IF(VLOOKUP(G25,Kitaplar!$A$2:$C$16,3,0)&gt;R75,R75+1,"5"),"")),"")</f>
        <v>5</v>
      </c>
      <c r="R76" s="1">
        <f>IFERROR(IF((VLOOKUP(G26,Kitaplar!$A$2:$C$27,3,0))-Q76&gt;T76,Q76+T76,VLOOKUP(G26,Kitaplar!$A$2:$C$27,3,0)),"")</f>
        <v>40</v>
      </c>
      <c r="S76" s="1">
        <v>5</v>
      </c>
      <c r="T76" s="1">
        <f t="shared" si="12"/>
        <v>35</v>
      </c>
      <c r="U76" s="1">
        <f t="shared" si="13"/>
        <v>20</v>
      </c>
    </row>
    <row r="77" spans="16:21" x14ac:dyDescent="0.25">
      <c r="P77" t="str">
        <f t="shared" si="11"/>
        <v>G.5N.21</v>
      </c>
      <c r="Q77" s="1">
        <f>IF(P77&lt;&gt;"",(IFERROR(IF(VLOOKUP(G26,Kitaplar!$A$2:$C$16,3,0)&gt;R76,R76+1,"5"),"")),"")</f>
        <v>41</v>
      </c>
      <c r="R77" s="1">
        <f>IFERROR(IF((VLOOKUP(G27,Kitaplar!$A$2:$C$27,3,0))-Q77&gt;T77,Q77+T77,VLOOKUP(G27,Kitaplar!$A$2:$C$27,3,0)),"")</f>
        <v>76</v>
      </c>
      <c r="S77" s="1">
        <v>5</v>
      </c>
      <c r="T77" s="1">
        <f t="shared" si="12"/>
        <v>35</v>
      </c>
      <c r="U77" s="1">
        <f t="shared" si="13"/>
        <v>21</v>
      </c>
    </row>
    <row r="78" spans="16:21" x14ac:dyDescent="0.25">
      <c r="P78" t="str">
        <f t="shared" si="11"/>
        <v>G.5N.22</v>
      </c>
      <c r="Q78" s="1">
        <f>IF(P78&lt;&gt;"",(IFERROR(IF(VLOOKUP(G27,Kitaplar!$A$2:$C$16,3,0)&gt;R77,R77+1,"5"),"")),"")</f>
        <v>77</v>
      </c>
      <c r="R78" s="1">
        <f>IFERROR(IF((VLOOKUP(G28,Kitaplar!$A$2:$C$27,3,0))-Q78&gt;T78,Q78+T78,VLOOKUP(G28,Kitaplar!$A$2:$C$27,3,0)),"")</f>
        <v>112</v>
      </c>
      <c r="S78" s="1">
        <v>5</v>
      </c>
      <c r="T78" s="1">
        <f t="shared" si="12"/>
        <v>35</v>
      </c>
      <c r="U78" s="1">
        <f t="shared" si="13"/>
        <v>22</v>
      </c>
    </row>
    <row r="79" spans="16:21" x14ac:dyDescent="0.25">
      <c r="P79" t="str">
        <f t="shared" si="11"/>
        <v>G.5N.23</v>
      </c>
      <c r="Q79" s="1">
        <f>IF(P79&lt;&gt;"",(IFERROR(IF(VLOOKUP(G28,Kitaplar!$A$2:$C$16,3,0)&gt;R78,R78+1,"5"),"")),"")</f>
        <v>113</v>
      </c>
      <c r="R79" s="1">
        <f>IFERROR(IF((VLOOKUP(G29,Kitaplar!$A$2:$C$27,3,0))-Q79&gt;T79,Q79+T79,VLOOKUP(G29,Kitaplar!$A$2:$C$27,3,0)),"")</f>
        <v>148</v>
      </c>
      <c r="S79" s="1">
        <v>5</v>
      </c>
      <c r="T79" s="1">
        <f t="shared" si="12"/>
        <v>35</v>
      </c>
      <c r="U79" s="1">
        <f t="shared" si="13"/>
        <v>23</v>
      </c>
    </row>
    <row r="80" spans="16:21" x14ac:dyDescent="0.25">
      <c r="P80" t="str">
        <f t="shared" si="11"/>
        <v/>
      </c>
      <c r="Q80" s="1" t="str">
        <f>IF(P80&lt;&gt;"",(IFERROR(IF(VLOOKUP(G29,Kitaplar!$A$2:$C$16,3,0)&gt;R79,R79+1,"5"),"")),"")</f>
        <v/>
      </c>
      <c r="R80" s="1" t="str">
        <f>IFERROR(IF((VLOOKUP(G30,Kitaplar!$A$2:$C$27,3,0))-Q80&gt;T80,Q80+T80,VLOOKUP(G30,Kitaplar!$A$2:$C$27,3,0)),"")</f>
        <v/>
      </c>
      <c r="T80" s="1" t="str">
        <f t="shared" si="12"/>
        <v/>
      </c>
      <c r="U80" s="1" t="str">
        <f t="shared" si="13"/>
        <v/>
      </c>
    </row>
    <row r="81" spans="16:21" x14ac:dyDescent="0.25">
      <c r="P81" t="str">
        <f t="shared" si="11"/>
        <v/>
      </c>
      <c r="Q81" s="1" t="str">
        <f>IF(P81&lt;&gt;"",(IFERROR(IF(VLOOKUP(G30,Kitaplar!$A$2:$C$16,3,0)&gt;R80,R80+1,"5"),"")),"")</f>
        <v/>
      </c>
      <c r="R81" s="1" t="str">
        <f>IFERROR(IF((VLOOKUP(G31,Kitaplar!$A$2:$C$27,3,0))-Q81&gt;T81,Q81+T81,VLOOKUP(G31,Kitaplar!$A$2:$C$27,3,0)),"")</f>
        <v/>
      </c>
      <c r="T81" s="1" t="str">
        <f t="shared" si="12"/>
        <v/>
      </c>
      <c r="U81" s="1" t="str">
        <f t="shared" si="13"/>
        <v/>
      </c>
    </row>
    <row r="82" spans="16:21" x14ac:dyDescent="0.25">
      <c r="P82" t="str">
        <f t="shared" si="11"/>
        <v/>
      </c>
      <c r="Q82" s="1" t="str">
        <f>IF(P82&lt;&gt;"",(IFERROR(IF(VLOOKUP(G31,Kitaplar!$A$2:$C$16,3,0)&gt;R81,R81+1,"5"),"")),"")</f>
        <v/>
      </c>
      <c r="R82" s="1" t="str">
        <f>IFERROR(IF((VLOOKUP(G32,Kitaplar!$A$2:$C$27,3,0))-Q82&gt;T82,Q82+T82,VLOOKUP(G32,Kitaplar!$A$2:$C$27,3,0)),"")</f>
        <v/>
      </c>
      <c r="T82" s="1" t="str">
        <f t="shared" si="12"/>
        <v/>
      </c>
      <c r="U82" s="1" t="str">
        <f t="shared" si="13"/>
        <v/>
      </c>
    </row>
    <row r="83" spans="16:21" x14ac:dyDescent="0.25">
      <c r="P83" t="str">
        <f t="shared" si="11"/>
        <v/>
      </c>
      <c r="Q83" s="1" t="str">
        <f>IF(P83&lt;&gt;"",(IFERROR(IF(VLOOKUP(G32,Kitaplar!$A$2:$C$16,3,0)&gt;R82,R82+1,"5"),"")),"")</f>
        <v/>
      </c>
      <c r="R83" s="1" t="str">
        <f>IFERROR(IF((VLOOKUP(G33,Kitaplar!$A$2:$C$27,3,0))-Q83&gt;T83,Q83+T83,VLOOKUP(G33,Kitaplar!$A$2:$C$27,3,0)),"")</f>
        <v/>
      </c>
      <c r="T83" s="1" t="str">
        <f t="shared" si="12"/>
        <v/>
      </c>
      <c r="U83" s="1" t="str">
        <f t="shared" si="13"/>
        <v/>
      </c>
    </row>
    <row r="84" spans="16:21" x14ac:dyDescent="0.25">
      <c r="P84" t="str">
        <f t="shared" si="11"/>
        <v/>
      </c>
      <c r="Q84" s="1" t="str">
        <f>IF(P84&lt;&gt;"",(IFERROR(IF(VLOOKUP(G33,Kitaplar!$A$2:$C$16,3,0)&gt;R83,R83+1,"5"),"")),"")</f>
        <v/>
      </c>
      <c r="R84" s="1" t="str">
        <f>IFERROR(IF((VLOOKUP(G34,Kitaplar!$A$2:$C$27,3,0))-Q84&gt;T84,Q84+T84,VLOOKUP(G34,Kitaplar!$A$2:$C$27,3,0)),"")</f>
        <v/>
      </c>
      <c r="T84" s="1" t="str">
        <f t="shared" si="12"/>
        <v/>
      </c>
      <c r="U84" s="1" t="str">
        <f t="shared" si="13"/>
        <v/>
      </c>
    </row>
    <row r="85" spans="16:21" x14ac:dyDescent="0.25">
      <c r="P85" t="str">
        <f t="shared" si="11"/>
        <v/>
      </c>
      <c r="Q85" s="1" t="str">
        <f>IF(P85&lt;&gt;"",(IFERROR(IF(VLOOKUP(G34,Kitaplar!$A$2:$C$16,3,0)&gt;R84,R84+1,"5"),"")),"")</f>
        <v/>
      </c>
      <c r="R85" s="1" t="str">
        <f>IFERROR(IF((VLOOKUP(G35,Kitaplar!$A$2:$C$27,3,0))-Q85&gt;T85,Q85+T85,VLOOKUP(G35,Kitaplar!$A$2:$C$27,3,0)),"")</f>
        <v/>
      </c>
      <c r="T85" s="1" t="str">
        <f t="shared" si="12"/>
        <v/>
      </c>
      <c r="U85" s="1" t="str">
        <f t="shared" si="13"/>
        <v/>
      </c>
    </row>
    <row r="86" spans="16:21" x14ac:dyDescent="0.25">
      <c r="P86" t="str">
        <f t="shared" si="11"/>
        <v/>
      </c>
      <c r="Q86" s="1" t="str">
        <f>IF(P86&lt;&gt;"",(IFERROR(IF(VLOOKUP(G35,Kitaplar!$A$2:$C$16,3,0)&gt;R85,R85+1,"5"),"")),"")</f>
        <v/>
      </c>
      <c r="R86" s="1" t="str">
        <f>IFERROR(IF((VLOOKUP(G36,Kitaplar!$A$2:$C$27,3,0))-Q86&gt;T86,Q86+T86,VLOOKUP(G36,Kitaplar!$A$2:$C$27,3,0)),"")</f>
        <v/>
      </c>
      <c r="T86" s="1" t="str">
        <f t="shared" si="12"/>
        <v/>
      </c>
      <c r="U86" s="1" t="str">
        <f t="shared" si="13"/>
        <v/>
      </c>
    </row>
    <row r="87" spans="16:21" x14ac:dyDescent="0.25">
      <c r="P87" t="str">
        <f t="shared" si="11"/>
        <v/>
      </c>
      <c r="Q87" s="1" t="str">
        <f>IF(P87&lt;&gt;"",(IFERROR(IF(VLOOKUP(G36,Kitaplar!$A$2:$C$16,3,0)&gt;R86,R86+1,"5"),"")),"")</f>
        <v/>
      </c>
      <c r="R87" s="1" t="str">
        <f>IFERROR(IF((VLOOKUP(G37,Kitaplar!$A$2:$C$27,3,0))-Q87&gt;T87,Q87+T87,VLOOKUP(G37,Kitaplar!$A$2:$C$27,3,0)),"")</f>
        <v/>
      </c>
      <c r="T87" s="1" t="str">
        <f t="shared" si="12"/>
        <v/>
      </c>
      <c r="U87" s="1" t="str">
        <f t="shared" si="13"/>
        <v/>
      </c>
    </row>
    <row r="88" spans="16:21" x14ac:dyDescent="0.25">
      <c r="P88" t="str">
        <f t="shared" si="11"/>
        <v/>
      </c>
      <c r="Q88" s="1" t="str">
        <f>IF(P88&lt;&gt;"",(IFERROR(IF(VLOOKUP(G37,Kitaplar!$A$2:$C$16,3,0)&gt;R87,R87+1,"5"),"")),"")</f>
        <v/>
      </c>
      <c r="R88" s="1" t="str">
        <f>IFERROR(IF((VLOOKUP(G38,Kitaplar!$A$2:$C$27,3,0))-Q88&gt;T88,Q88+T88,VLOOKUP(G38,Kitaplar!$A$2:$C$27,3,0)),"")</f>
        <v/>
      </c>
      <c r="T88" s="1" t="str">
        <f t="shared" si="12"/>
        <v/>
      </c>
      <c r="U88" s="1" t="str">
        <f t="shared" si="13"/>
        <v/>
      </c>
    </row>
    <row r="89" spans="16:21" x14ac:dyDescent="0.25">
      <c r="P89" t="str">
        <f t="shared" si="11"/>
        <v/>
      </c>
      <c r="Q89" s="1" t="str">
        <f>IF(P89&lt;&gt;"",(IFERROR(IF(VLOOKUP(G38,Kitaplar!$A$2:$C$21,3,0)&gt;R88,R88+1,"5"),"")),"")</f>
        <v/>
      </c>
      <c r="R89" s="1" t="str">
        <f>IFERROR(IF((VLOOKUP(G39,Kitaplar!$A$2:$C$27,3,0))-Q89&gt;T89,Q89+T89,VLOOKUP(G39,Kitaplar!$A$2:$C$27,3,0)),"")</f>
        <v/>
      </c>
      <c r="T89" s="1" t="str">
        <f t="shared" si="12"/>
        <v/>
      </c>
      <c r="U89" s="1" t="str">
        <f t="shared" si="13"/>
        <v/>
      </c>
    </row>
    <row r="90" spans="16:21" x14ac:dyDescent="0.25">
      <c r="P90" t="str">
        <f t="shared" si="11"/>
        <v/>
      </c>
      <c r="Q90" s="1" t="str">
        <f>IF(P90&lt;&gt;"",(IFERROR(IF(VLOOKUP(G39,Kitaplar!$A$2:$C$21,3,0)&gt;R89,R89+1,"5"),"")),"")</f>
        <v/>
      </c>
      <c r="R90" s="1" t="str">
        <f>IFERROR(IF((VLOOKUP(G40,Kitaplar!$A$2:$C$27,3,0))-Q90&gt;T90,Q90+T90,VLOOKUP(G40,Kitaplar!$A$2:$C$27,3,0)),"")</f>
        <v/>
      </c>
      <c r="T90" s="1" t="str">
        <f t="shared" si="12"/>
        <v/>
      </c>
      <c r="U90" s="1" t="str">
        <f t="shared" si="13"/>
        <v/>
      </c>
    </row>
    <row r="91" spans="16:21" x14ac:dyDescent="0.25">
      <c r="P91" t="str">
        <f t="shared" si="11"/>
        <v/>
      </c>
      <c r="Q91" s="1" t="str">
        <f>IF(P91&lt;&gt;"",(IFERROR(IF(VLOOKUP(G40,Kitaplar!$A$2:$C$21,3,0)&gt;R90,R90+1,"5"),"")),"")</f>
        <v/>
      </c>
      <c r="R91" s="1" t="str">
        <f>IFERROR(IF((VLOOKUP(G41,Kitaplar!$A$2:$C$27,3,0))-Q91&gt;T91,Q91+T91,VLOOKUP(G41,Kitaplar!$A$2:$C$27,3,0)),"")</f>
        <v/>
      </c>
      <c r="T91" s="1" t="str">
        <f t="shared" si="12"/>
        <v/>
      </c>
      <c r="U91" s="1" t="str">
        <f t="shared" si="13"/>
        <v/>
      </c>
    </row>
    <row r="92" spans="16:21" x14ac:dyDescent="0.25">
      <c r="P92" t="str">
        <f t="shared" si="11"/>
        <v/>
      </c>
      <c r="Q92" s="1" t="str">
        <f>IF(P92&lt;&gt;"",(IFERROR(IF(VLOOKUP(G41,Kitaplar!$A$2:$C$21,3,0)&gt;R91,R91+1,"5"),"")),"")</f>
        <v/>
      </c>
      <c r="R92" s="1" t="str">
        <f>IFERROR(IF((VLOOKUP(G42,Kitaplar!$A$2:$C$27,3,0))-Q92&gt;T92,Q92+T92,VLOOKUP(G42,Kitaplar!$A$2:$C$27,3,0)),"")</f>
        <v/>
      </c>
      <c r="T92" s="1" t="str">
        <f t="shared" si="12"/>
        <v/>
      </c>
      <c r="U92" s="1" t="str">
        <f t="shared" si="13"/>
        <v/>
      </c>
    </row>
    <row r="93" spans="16:21" x14ac:dyDescent="0.25">
      <c r="P93" t="str">
        <f t="shared" si="11"/>
        <v/>
      </c>
      <c r="Q93" s="1" t="str">
        <f>IF(P93&lt;&gt;"",(IFERROR(IF(VLOOKUP(G42,Kitaplar!$A$2:$C$21,3,0)&gt;R92,R92+1,"5"),"")),"")</f>
        <v/>
      </c>
      <c r="R93" s="1" t="str">
        <f>IFERROR(IF((VLOOKUP(G43,Kitaplar!$A$2:$C$27,3,0))-Q93&gt;T93,Q93+T93,VLOOKUP(G43,Kitaplar!$A$2:$C$27,3,0)),"")</f>
        <v/>
      </c>
      <c r="T93" s="1" t="str">
        <f t="shared" si="12"/>
        <v/>
      </c>
      <c r="U93" s="1" t="str">
        <f>IF(S93="","",IF(S92=S93,U92+1,1))</f>
        <v/>
      </c>
    </row>
    <row r="94" spans="16:21" x14ac:dyDescent="0.25">
      <c r="P94" t="str">
        <f t="shared" si="11"/>
        <v/>
      </c>
      <c r="Q94" s="1" t="str">
        <f>IF(P94&lt;&gt;"",(IFERROR(IF(VLOOKUP(G43,Kitaplar!$A$2:$C$21,3,0)&gt;R93,R93+1,"5"),"")),"")</f>
        <v/>
      </c>
      <c r="R94" s="1" t="str">
        <f>IFERROR(IF((VLOOKUP(G44,Kitaplar!$A$2:$C$27,3,0))-Q94&gt;T94,Q94+T94,VLOOKUP(G44,Kitaplar!$A$2:$C$27,3,0)),"")</f>
        <v/>
      </c>
      <c r="T94" s="1" t="str">
        <f t="shared" si="12"/>
        <v/>
      </c>
      <c r="U94" s="1" t="str">
        <f t="shared" ref="U94:U102" si="14">IF(S94="","",IF(S93=S94,U93+1,1))</f>
        <v/>
      </c>
    </row>
    <row r="95" spans="16:21" x14ac:dyDescent="0.25">
      <c r="P95" t="str">
        <f t="shared" si="11"/>
        <v/>
      </c>
      <c r="Q95" s="1" t="str">
        <f>IF(P95&lt;&gt;"",(IFERROR(IF(VLOOKUP(G44,Kitaplar!$A$2:$C$21,3,0)&gt;R94,R94+1,"5"),"")),"")</f>
        <v/>
      </c>
      <c r="R95" s="1" t="str">
        <f>IFERROR(IF((VLOOKUP(G45,Kitaplar!$A$2:$C$27,3,0))-Q95&gt;T95,Q95+T95,VLOOKUP(G45,Kitaplar!$A$2:$C$27,3,0)),"")</f>
        <v/>
      </c>
      <c r="T95" s="1" t="str">
        <f t="shared" si="12"/>
        <v/>
      </c>
      <c r="U95" s="1" t="str">
        <f t="shared" si="14"/>
        <v/>
      </c>
    </row>
    <row r="96" spans="16:21" x14ac:dyDescent="0.25">
      <c r="P96" t="str">
        <f t="shared" si="11"/>
        <v/>
      </c>
      <c r="Q96" s="1" t="str">
        <f>IF(P96&lt;&gt;"",(IFERROR(IF(VLOOKUP(G45,Kitaplar!$A$2:$C$21,3,0)&gt;R95,R95+1,"5"),"")),"")</f>
        <v/>
      </c>
      <c r="R96" s="1" t="str">
        <f>IFERROR(IF((VLOOKUP(G46,Kitaplar!$A$2:$C$27,3,0))-Q96&gt;T96,Q96+T96,VLOOKUP(G46,Kitaplar!$A$2:$C$27,3,0)),"")</f>
        <v/>
      </c>
      <c r="T96" s="1" t="str">
        <f t="shared" si="12"/>
        <v/>
      </c>
      <c r="U96" s="1" t="str">
        <f t="shared" si="14"/>
        <v/>
      </c>
    </row>
    <row r="97" spans="16:21" x14ac:dyDescent="0.25">
      <c r="P97" t="str">
        <f t="shared" si="11"/>
        <v/>
      </c>
      <c r="Q97" s="1" t="str">
        <f>IF(P97&lt;&gt;"",(IFERROR(IF(VLOOKUP(G46,Kitaplar!$A$2:$C$21,3,0)&gt;R96,R96+1,"5"),"")),"")</f>
        <v/>
      </c>
      <c r="R97" s="1" t="str">
        <f>IFERROR(IF((VLOOKUP(G47,Kitaplar!$A$2:$C$27,3,0))-Q97&gt;T97,Q97+T97,VLOOKUP(G47,Kitaplar!$A$2:$C$27,3,0)),"")</f>
        <v/>
      </c>
      <c r="T97" s="1" t="str">
        <f t="shared" si="12"/>
        <v/>
      </c>
      <c r="U97" s="1" t="str">
        <f t="shared" si="14"/>
        <v/>
      </c>
    </row>
    <row r="98" spans="16:21" x14ac:dyDescent="0.25">
      <c r="P98" t="str">
        <f t="shared" si="11"/>
        <v/>
      </c>
      <c r="Q98" s="1" t="str">
        <f>IF(P98&lt;&gt;"",(IFERROR(IF(VLOOKUP(G47,Kitaplar!$A$2:$C$21,3,0)&gt;R97,R97+1,"5"),"")),"")</f>
        <v/>
      </c>
      <c r="R98" s="1" t="str">
        <f>IFERROR(IF((VLOOKUP(G48,Kitaplar!$A$2:$C$27,3,0))-Q98&gt;T98,Q98+T98,VLOOKUP(G48,Kitaplar!$A$2:$C$27,3,0)),"")</f>
        <v/>
      </c>
      <c r="T98" s="1" t="str">
        <f t="shared" si="12"/>
        <v/>
      </c>
      <c r="U98" s="1" t="str">
        <f t="shared" si="14"/>
        <v/>
      </c>
    </row>
    <row r="99" spans="16:21" x14ac:dyDescent="0.25">
      <c r="P99" t="str">
        <f t="shared" si="11"/>
        <v/>
      </c>
      <c r="Q99" s="1" t="str">
        <f>IF(P99&lt;&gt;"",(IFERROR(IF(VLOOKUP(G48,Kitaplar!$A$2:$C$21,3,0)&gt;R98,R98+1,"5"),"")),"")</f>
        <v/>
      </c>
      <c r="R99" s="1" t="str">
        <f>IFERROR(IF((VLOOKUP(G49,Kitaplar!$A$2:$C$27,3,0))-Q99&gt;T99,Q99+T99,VLOOKUP(G49,Kitaplar!$A$2:$C$27,3,0)),"")</f>
        <v/>
      </c>
      <c r="T99" s="1" t="str">
        <f t="shared" si="12"/>
        <v/>
      </c>
      <c r="U99" s="1" t="str">
        <f t="shared" si="14"/>
        <v/>
      </c>
    </row>
    <row r="100" spans="16:21" x14ac:dyDescent="0.25">
      <c r="P100" t="str">
        <f t="shared" si="11"/>
        <v/>
      </c>
      <c r="Q100" s="1" t="str">
        <f>IF(P100&lt;&gt;"",(IFERROR(IF(VLOOKUP(G49,Kitaplar!$A$2:$C$21,3,0)&gt;R99,R99+1,"5"),"")),"")</f>
        <v/>
      </c>
      <c r="R100" s="1" t="str">
        <f>IFERROR(IF((VLOOKUP(G50,Kitaplar!$A$2:$C$27,3,0))-Q100&gt;T100,Q100+T100,VLOOKUP(G50,Kitaplar!$A$2:$C$27,3,0)),"")</f>
        <v/>
      </c>
      <c r="T100" s="1" t="str">
        <f t="shared" si="12"/>
        <v/>
      </c>
      <c r="U100" s="1" t="str">
        <f t="shared" si="14"/>
        <v/>
      </c>
    </row>
    <row r="101" spans="16:21" x14ac:dyDescent="0.25">
      <c r="P101" t="str">
        <f t="shared" si="11"/>
        <v/>
      </c>
      <c r="Q101" s="1" t="str">
        <f>IF(P101&lt;&gt;"",(IFERROR(IF(VLOOKUP(G50,Kitaplar!$A$2:$C$21,3,0)&gt;R100,R100+1,"5"),"")),"")</f>
        <v/>
      </c>
      <c r="R101" s="1" t="str">
        <f>IFERROR(IF((VLOOKUP(G51,Kitaplar!$A$2:$C$27,3,0))-Q101&gt;T101,Q101+T101,VLOOKUP(G51,Kitaplar!$A$2:$C$27,3,0)),"")</f>
        <v/>
      </c>
      <c r="T101" s="1" t="str">
        <f t="shared" si="12"/>
        <v/>
      </c>
      <c r="U101" s="1" t="str">
        <f t="shared" si="14"/>
        <v/>
      </c>
    </row>
    <row r="102" spans="16:21" x14ac:dyDescent="0.25">
      <c r="P102" t="str">
        <f t="shared" si="11"/>
        <v/>
      </c>
      <c r="Q102" s="1" t="str">
        <f>IF(P102&lt;&gt;"",(IFERROR(IF(VLOOKUP(G51,Kitaplar!$A$2:$C$21,3,0)&gt;R101,R101+1,"5"),"")),"")</f>
        <v/>
      </c>
      <c r="R102" s="1" t="str">
        <f>IFERROR(IF((VLOOKUP(G52,Kitaplar!$A$2:$C$27,3,0))-Q102&gt;T102,Q102+T102,VLOOKUP(G52,Kitaplar!$A$2:$C$27,3,0)),"")</f>
        <v/>
      </c>
      <c r="T102" s="1" t="str">
        <f t="shared" si="12"/>
        <v/>
      </c>
      <c r="U102" s="1" t="str">
        <f t="shared" si="14"/>
        <v/>
      </c>
    </row>
  </sheetData>
  <mergeCells count="1">
    <mergeCell ref="A1:I1"/>
  </mergeCells>
  <conditionalFormatting sqref="F3:I52">
    <cfRule type="notContainsBlanks" dxfId="13" priority="2">
      <formula>LEN(TRIM(F3))&gt;0</formula>
    </cfRule>
  </conditionalFormatting>
  <conditionalFormatting sqref="A3:D52">
    <cfRule type="notContainsBlanks" dxfId="12" priority="1">
      <formula>LEN(TRIM(A3))&gt;0</formula>
    </cfRule>
  </conditionalFormatting>
  <printOptions horizontalCentered="1"/>
  <pageMargins left="0.43" right="0.24" top="0.55118110236220474" bottom="0.43307086614173229" header="0.31496062992125984" footer="0.23622047244094491"/>
  <pageSetup paperSize="9" scale="92" orientation="portrait" r:id="rId1"/>
  <ignoredErrors>
    <ignoredError sqref="B3 L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dfYap2">
                <anchor moveWithCells="1" sizeWithCells="1">
                  <from>
                    <xdr:col>9</xdr:col>
                    <xdr:colOff>666750</xdr:colOff>
                    <xdr:row>2</xdr:row>
                    <xdr:rowOff>0</xdr:rowOff>
                  </from>
                  <to>
                    <xdr:col>11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Kitaplar!$A$2:$A$20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3"/>
  <dimension ref="A1:G124"/>
  <sheetViews>
    <sheetView tabSelected="1" topLeftCell="D1" workbookViewId="0">
      <selection activeCell="I11" sqref="I11"/>
    </sheetView>
  </sheetViews>
  <sheetFormatPr defaultRowHeight="15" x14ac:dyDescent="0.25"/>
  <cols>
    <col min="1" max="1" width="18.42578125" hidden="1" customWidth="1"/>
    <col min="2" max="2" width="5.7109375" style="21" hidden="1" customWidth="1"/>
    <col min="3" max="3" width="11.5703125" hidden="1" customWidth="1"/>
    <col min="4" max="4" width="41.5703125" customWidth="1"/>
    <col min="5" max="5" width="14.140625" style="1" customWidth="1"/>
    <col min="6" max="6" width="13.42578125" style="8" customWidth="1"/>
    <col min="8" max="8" width="10.5703125" customWidth="1"/>
    <col min="9" max="9" width="17.42578125" customWidth="1"/>
  </cols>
  <sheetData>
    <row r="1" spans="1:7" ht="32.25" customHeight="1" x14ac:dyDescent="0.25">
      <c r="A1" s="6" t="s">
        <v>25</v>
      </c>
      <c r="B1" s="19"/>
      <c r="C1" s="6"/>
      <c r="D1" s="29" t="s">
        <v>0</v>
      </c>
      <c r="E1" s="23" t="s">
        <v>1</v>
      </c>
      <c r="F1" s="30" t="s">
        <v>109</v>
      </c>
      <c r="G1" s="1"/>
    </row>
    <row r="2" spans="1:7" x14ac:dyDescent="0.25">
      <c r="A2" s="5" t="str">
        <f>IF(E2&lt;&gt;"","G."&amp;E2&amp;"N."&amp;F2,"")</f>
        <v>G.20N.1</v>
      </c>
      <c r="B2" s="20"/>
      <c r="C2" s="5"/>
      <c r="D2" s="22" t="s">
        <v>63</v>
      </c>
      <c r="E2" s="16">
        <v>20</v>
      </c>
      <c r="F2" s="26">
        <v>1</v>
      </c>
    </row>
    <row r="3" spans="1:7" x14ac:dyDescent="0.25">
      <c r="A3" s="5" t="str">
        <f t="shared" ref="A3:A66" si="0">IF(E3&lt;&gt;"","G."&amp;E3&amp;"N."&amp;F3,"")</f>
        <v>G.20N.2</v>
      </c>
      <c r="B3" s="20"/>
      <c r="C3" s="5"/>
      <c r="D3" s="22" t="s">
        <v>64</v>
      </c>
      <c r="E3" s="16">
        <v>20</v>
      </c>
      <c r="F3" s="27">
        <v>2</v>
      </c>
    </row>
    <row r="4" spans="1:7" x14ac:dyDescent="0.25">
      <c r="A4" s="5" t="str">
        <f t="shared" si="0"/>
        <v>G.20N.3</v>
      </c>
      <c r="B4" s="20"/>
      <c r="C4" s="5"/>
      <c r="D4" s="22" t="s">
        <v>65</v>
      </c>
      <c r="E4" s="16">
        <v>20</v>
      </c>
      <c r="F4" s="26">
        <v>3</v>
      </c>
    </row>
    <row r="5" spans="1:7" x14ac:dyDescent="0.25">
      <c r="A5" s="5" t="str">
        <f t="shared" si="0"/>
        <v>G.20N.4</v>
      </c>
      <c r="B5" s="20"/>
      <c r="C5" s="5"/>
      <c r="D5" s="22" t="s">
        <v>66</v>
      </c>
      <c r="E5" s="16">
        <v>20</v>
      </c>
      <c r="F5" s="26">
        <v>4</v>
      </c>
    </row>
    <row r="6" spans="1:7" x14ac:dyDescent="0.25">
      <c r="A6" s="5" t="str">
        <f t="shared" si="0"/>
        <v>G.20N.5</v>
      </c>
      <c r="B6" s="20"/>
      <c r="C6" s="5"/>
      <c r="D6" s="22" t="s">
        <v>32</v>
      </c>
      <c r="E6" s="16">
        <v>20</v>
      </c>
      <c r="F6" s="27">
        <v>5</v>
      </c>
    </row>
    <row r="7" spans="1:7" x14ac:dyDescent="0.25">
      <c r="A7" s="5" t="str">
        <f t="shared" si="0"/>
        <v>G.20N.6</v>
      </c>
      <c r="B7" s="20"/>
      <c r="C7" s="5"/>
      <c r="D7" s="22" t="s">
        <v>94</v>
      </c>
      <c r="E7" s="16">
        <v>20</v>
      </c>
      <c r="F7" s="26">
        <v>6</v>
      </c>
    </row>
    <row r="8" spans="1:7" x14ac:dyDescent="0.25">
      <c r="A8" s="5" t="str">
        <f t="shared" si="0"/>
        <v>G.20N.7</v>
      </c>
      <c r="B8" s="20"/>
      <c r="C8" s="5"/>
      <c r="D8" s="22" t="s">
        <v>67</v>
      </c>
      <c r="E8" s="16">
        <v>20</v>
      </c>
      <c r="F8" s="26">
        <v>7</v>
      </c>
    </row>
    <row r="9" spans="1:7" x14ac:dyDescent="0.25">
      <c r="A9" s="5" t="str">
        <f t="shared" si="0"/>
        <v>G.20N.8</v>
      </c>
      <c r="B9" s="20"/>
      <c r="C9" s="5"/>
      <c r="D9" s="22" t="s">
        <v>110</v>
      </c>
      <c r="E9" s="16">
        <v>20</v>
      </c>
      <c r="F9" s="27">
        <v>8</v>
      </c>
    </row>
    <row r="10" spans="1:7" x14ac:dyDescent="0.25">
      <c r="A10" s="5" t="str">
        <f t="shared" si="0"/>
        <v>G.20N.9</v>
      </c>
      <c r="B10" s="20"/>
      <c r="C10" s="5"/>
      <c r="D10" s="22" t="s">
        <v>112</v>
      </c>
      <c r="E10" s="16">
        <v>20</v>
      </c>
      <c r="F10" s="26">
        <v>9</v>
      </c>
    </row>
    <row r="11" spans="1:7" x14ac:dyDescent="0.25">
      <c r="A11" s="5" t="str">
        <f t="shared" si="0"/>
        <v>G.15N.1</v>
      </c>
      <c r="B11" s="20"/>
      <c r="C11" s="5"/>
      <c r="D11" s="22" t="s">
        <v>28</v>
      </c>
      <c r="E11" s="16">
        <v>15</v>
      </c>
      <c r="F11" s="27">
        <v>1</v>
      </c>
    </row>
    <row r="12" spans="1:7" x14ac:dyDescent="0.25">
      <c r="A12" s="5" t="str">
        <f t="shared" si="0"/>
        <v>G.15N.2</v>
      </c>
      <c r="B12" s="20"/>
      <c r="C12" s="5"/>
      <c r="D12" s="22" t="s">
        <v>98</v>
      </c>
      <c r="E12" s="16">
        <v>15</v>
      </c>
      <c r="F12" s="27">
        <v>2</v>
      </c>
    </row>
    <row r="13" spans="1:7" x14ac:dyDescent="0.25">
      <c r="A13" s="5" t="str">
        <f t="shared" si="0"/>
        <v>G.15N.3</v>
      </c>
      <c r="B13" s="20"/>
      <c r="C13" s="5"/>
      <c r="D13" s="22" t="s">
        <v>48</v>
      </c>
      <c r="E13" s="16">
        <v>15</v>
      </c>
      <c r="F13" s="27">
        <v>3</v>
      </c>
    </row>
    <row r="14" spans="1:7" x14ac:dyDescent="0.25">
      <c r="A14" s="5" t="str">
        <f t="shared" si="0"/>
        <v>G.15N.4</v>
      </c>
      <c r="B14" s="20"/>
      <c r="C14" s="5"/>
      <c r="D14" s="22" t="s">
        <v>73</v>
      </c>
      <c r="E14" s="16">
        <v>15</v>
      </c>
      <c r="F14" s="27">
        <v>4</v>
      </c>
    </row>
    <row r="15" spans="1:7" x14ac:dyDescent="0.25">
      <c r="A15" s="5" t="str">
        <f t="shared" si="0"/>
        <v>G.15N.5</v>
      </c>
      <c r="B15" s="20"/>
      <c r="C15" s="5"/>
      <c r="D15" s="22" t="s">
        <v>74</v>
      </c>
      <c r="E15" s="16">
        <v>15</v>
      </c>
      <c r="F15" s="27">
        <v>5</v>
      </c>
    </row>
    <row r="16" spans="1:7" x14ac:dyDescent="0.25">
      <c r="A16" s="5" t="str">
        <f t="shared" si="0"/>
        <v>G.10N.1</v>
      </c>
      <c r="B16" s="20"/>
      <c r="C16" s="5"/>
      <c r="D16" s="22" t="s">
        <v>113</v>
      </c>
      <c r="E16" s="16">
        <v>10</v>
      </c>
      <c r="F16" s="26">
        <v>1</v>
      </c>
    </row>
    <row r="17" spans="1:6" x14ac:dyDescent="0.25">
      <c r="A17" s="5" t="str">
        <f t="shared" si="0"/>
        <v>G.10N.2</v>
      </c>
      <c r="B17" s="20"/>
      <c r="C17" s="5"/>
      <c r="D17" s="22" t="s">
        <v>68</v>
      </c>
      <c r="E17" s="16">
        <v>10</v>
      </c>
      <c r="F17" s="27">
        <v>2</v>
      </c>
    </row>
    <row r="18" spans="1:6" x14ac:dyDescent="0.25">
      <c r="A18" s="5" t="str">
        <f t="shared" si="0"/>
        <v>G.10N.3</v>
      </c>
      <c r="B18" s="20"/>
      <c r="C18" s="5"/>
      <c r="D18" s="22" t="s">
        <v>114</v>
      </c>
      <c r="E18" s="16">
        <v>10</v>
      </c>
      <c r="F18" s="27">
        <v>3</v>
      </c>
    </row>
    <row r="19" spans="1:6" x14ac:dyDescent="0.25">
      <c r="A19" s="5" t="str">
        <f t="shared" si="0"/>
        <v>G.10N.4</v>
      </c>
      <c r="B19" s="20"/>
      <c r="C19" s="5"/>
      <c r="D19" s="22" t="s">
        <v>69</v>
      </c>
      <c r="E19" s="16">
        <v>10</v>
      </c>
      <c r="F19" s="26">
        <v>4</v>
      </c>
    </row>
    <row r="20" spans="1:6" x14ac:dyDescent="0.25">
      <c r="A20" s="5" t="str">
        <f t="shared" si="0"/>
        <v>G.10N.5</v>
      </c>
      <c r="B20" s="20"/>
      <c r="C20" s="5"/>
      <c r="D20" s="22" t="s">
        <v>70</v>
      </c>
      <c r="E20" s="16">
        <v>10</v>
      </c>
      <c r="F20" s="27">
        <v>5</v>
      </c>
    </row>
    <row r="21" spans="1:6" x14ac:dyDescent="0.25">
      <c r="A21" s="5" t="str">
        <f t="shared" si="0"/>
        <v>G.10N.6</v>
      </c>
      <c r="B21" s="20"/>
      <c r="C21" s="5"/>
      <c r="D21" s="22" t="s">
        <v>95</v>
      </c>
      <c r="E21" s="16">
        <v>10</v>
      </c>
      <c r="F21" s="27">
        <v>6</v>
      </c>
    </row>
    <row r="22" spans="1:6" x14ac:dyDescent="0.25">
      <c r="A22" s="5" t="str">
        <f t="shared" si="0"/>
        <v>G.10N.7</v>
      </c>
      <c r="B22" s="20"/>
      <c r="C22" s="5"/>
      <c r="D22" s="22" t="s">
        <v>71</v>
      </c>
      <c r="E22" s="16">
        <v>10</v>
      </c>
      <c r="F22" s="26">
        <v>7</v>
      </c>
    </row>
    <row r="23" spans="1:6" x14ac:dyDescent="0.25">
      <c r="A23" s="5" t="str">
        <f t="shared" si="0"/>
        <v>G.10N.8</v>
      </c>
      <c r="B23" s="20"/>
      <c r="C23" s="5"/>
      <c r="D23" s="22" t="s">
        <v>96</v>
      </c>
      <c r="E23" s="16">
        <v>10</v>
      </c>
      <c r="F23" s="27">
        <v>8</v>
      </c>
    </row>
    <row r="24" spans="1:6" x14ac:dyDescent="0.25">
      <c r="A24" s="5" t="str">
        <f t="shared" si="0"/>
        <v>G.10N.9</v>
      </c>
      <c r="B24" s="20"/>
      <c r="C24" s="5"/>
      <c r="D24" s="22" t="s">
        <v>97</v>
      </c>
      <c r="E24" s="16">
        <v>10</v>
      </c>
      <c r="F24" s="27">
        <v>9</v>
      </c>
    </row>
    <row r="25" spans="1:6" x14ac:dyDescent="0.25">
      <c r="A25" s="5" t="str">
        <f t="shared" si="0"/>
        <v>G.10N.10</v>
      </c>
      <c r="B25" s="20"/>
      <c r="C25" s="5"/>
      <c r="D25" s="22" t="s">
        <v>72</v>
      </c>
      <c r="E25" s="16">
        <v>10</v>
      </c>
      <c r="F25" s="26">
        <v>10</v>
      </c>
    </row>
    <row r="26" spans="1:6" x14ac:dyDescent="0.25">
      <c r="A26" s="5" t="str">
        <f t="shared" si="0"/>
        <v>G.10N.11</v>
      </c>
      <c r="B26" s="20"/>
      <c r="C26" s="5"/>
      <c r="D26" s="22" t="s">
        <v>52</v>
      </c>
      <c r="E26" s="16">
        <v>10</v>
      </c>
      <c r="F26" s="27">
        <v>11</v>
      </c>
    </row>
    <row r="27" spans="1:6" x14ac:dyDescent="0.25">
      <c r="A27" s="5" t="str">
        <f t="shared" si="0"/>
        <v>G.10N.12</v>
      </c>
      <c r="B27" s="20"/>
      <c r="C27" s="5"/>
      <c r="D27" s="22" t="s">
        <v>115</v>
      </c>
      <c r="E27" s="16">
        <v>10</v>
      </c>
      <c r="F27" s="27">
        <v>12</v>
      </c>
    </row>
    <row r="28" spans="1:6" x14ac:dyDescent="0.25">
      <c r="A28" s="5" t="str">
        <f t="shared" si="0"/>
        <v>G.10N.13</v>
      </c>
      <c r="B28" s="20"/>
      <c r="C28" s="5"/>
      <c r="D28" s="22" t="s">
        <v>32</v>
      </c>
      <c r="E28" s="16">
        <v>10</v>
      </c>
      <c r="F28" s="26">
        <v>13</v>
      </c>
    </row>
    <row r="29" spans="1:6" x14ac:dyDescent="0.25">
      <c r="A29" s="5" t="str">
        <f t="shared" si="0"/>
        <v>G.10N.14</v>
      </c>
      <c r="B29" s="20"/>
      <c r="C29" s="5"/>
      <c r="D29" s="22" t="s">
        <v>99</v>
      </c>
      <c r="E29" s="16">
        <v>10</v>
      </c>
      <c r="F29" s="27">
        <v>14</v>
      </c>
    </row>
    <row r="30" spans="1:6" x14ac:dyDescent="0.25">
      <c r="A30" s="5" t="str">
        <f t="shared" si="0"/>
        <v>G.10N.15</v>
      </c>
      <c r="B30" s="20"/>
      <c r="C30" s="5"/>
      <c r="D30" s="22" t="s">
        <v>27</v>
      </c>
      <c r="E30" s="16">
        <v>10</v>
      </c>
      <c r="F30" s="27">
        <v>15</v>
      </c>
    </row>
    <row r="31" spans="1:6" x14ac:dyDescent="0.25">
      <c r="A31" s="5" t="str">
        <f t="shared" si="0"/>
        <v>G.10N.16</v>
      </c>
      <c r="B31" s="20"/>
      <c r="C31" s="5"/>
      <c r="D31" s="22" t="s">
        <v>100</v>
      </c>
      <c r="E31" s="16">
        <v>10</v>
      </c>
      <c r="F31" s="26">
        <v>16</v>
      </c>
    </row>
    <row r="32" spans="1:6" x14ac:dyDescent="0.25">
      <c r="A32" s="5" t="str">
        <f t="shared" si="0"/>
        <v>G.10N.17</v>
      </c>
      <c r="B32" s="20"/>
      <c r="C32" s="5"/>
      <c r="D32" s="22" t="s">
        <v>28</v>
      </c>
      <c r="E32" s="16">
        <v>10</v>
      </c>
      <c r="F32" s="27">
        <v>17</v>
      </c>
    </row>
    <row r="33" spans="1:6" x14ac:dyDescent="0.25">
      <c r="A33" s="5" t="str">
        <f t="shared" si="0"/>
        <v>G.10N.18</v>
      </c>
      <c r="B33" s="20"/>
      <c r="C33" s="5"/>
      <c r="D33" s="22" t="s">
        <v>29</v>
      </c>
      <c r="E33" s="16">
        <v>10</v>
      </c>
      <c r="F33" s="27">
        <v>18</v>
      </c>
    </row>
    <row r="34" spans="1:6" x14ac:dyDescent="0.25">
      <c r="A34" s="5" t="str">
        <f t="shared" si="0"/>
        <v>G.10N.19</v>
      </c>
      <c r="B34" s="20"/>
      <c r="C34" s="5"/>
      <c r="D34" s="22" t="s">
        <v>30</v>
      </c>
      <c r="E34" s="16">
        <v>10</v>
      </c>
      <c r="F34" s="26">
        <v>19</v>
      </c>
    </row>
    <row r="35" spans="1:6" x14ac:dyDescent="0.25">
      <c r="A35" s="5" t="str">
        <f t="shared" si="0"/>
        <v>G.10N.20</v>
      </c>
      <c r="B35" s="20"/>
      <c r="C35" s="5"/>
      <c r="D35" s="22" t="s">
        <v>31</v>
      </c>
      <c r="E35" s="16">
        <v>10</v>
      </c>
      <c r="F35" s="27">
        <v>20</v>
      </c>
    </row>
    <row r="36" spans="1:6" x14ac:dyDescent="0.25">
      <c r="A36" s="5" t="str">
        <f t="shared" si="0"/>
        <v>G.10N.21</v>
      </c>
      <c r="B36" s="20"/>
      <c r="C36" s="5"/>
      <c r="D36" s="22" t="s">
        <v>32</v>
      </c>
      <c r="E36" s="16">
        <v>10</v>
      </c>
      <c r="F36" s="27">
        <v>21</v>
      </c>
    </row>
    <row r="37" spans="1:6" x14ac:dyDescent="0.25">
      <c r="A37" s="5" t="str">
        <f t="shared" si="0"/>
        <v>G.10N.22</v>
      </c>
      <c r="B37" s="20"/>
      <c r="C37" s="5"/>
      <c r="D37" s="22" t="s">
        <v>33</v>
      </c>
      <c r="E37" s="16">
        <v>10</v>
      </c>
      <c r="F37" s="26">
        <v>22</v>
      </c>
    </row>
    <row r="38" spans="1:6" x14ac:dyDescent="0.25">
      <c r="A38" s="5" t="str">
        <f t="shared" si="0"/>
        <v>G.10N.23</v>
      </c>
      <c r="B38" s="20"/>
      <c r="C38" s="5"/>
      <c r="D38" s="22" t="s">
        <v>34</v>
      </c>
      <c r="E38" s="16">
        <v>10</v>
      </c>
      <c r="F38" s="27">
        <v>23</v>
      </c>
    </row>
    <row r="39" spans="1:6" x14ac:dyDescent="0.25">
      <c r="A39" s="5" t="str">
        <f t="shared" si="0"/>
        <v>G.10N.24</v>
      </c>
      <c r="B39" s="20"/>
      <c r="C39" s="5"/>
      <c r="D39" s="22" t="s">
        <v>35</v>
      </c>
      <c r="E39" s="16">
        <v>10</v>
      </c>
      <c r="F39" s="27">
        <v>24</v>
      </c>
    </row>
    <row r="40" spans="1:6" x14ac:dyDescent="0.25">
      <c r="A40" s="5" t="str">
        <f t="shared" si="0"/>
        <v>G.10N.25</v>
      </c>
      <c r="B40" s="20"/>
      <c r="C40" s="5"/>
      <c r="D40" s="22" t="s">
        <v>36</v>
      </c>
      <c r="E40" s="16">
        <v>10</v>
      </c>
      <c r="F40" s="26">
        <v>25</v>
      </c>
    </row>
    <row r="41" spans="1:6" x14ac:dyDescent="0.25">
      <c r="A41" s="5" t="str">
        <f t="shared" si="0"/>
        <v>G.10N.26</v>
      </c>
      <c r="B41" s="20"/>
      <c r="C41" s="5"/>
      <c r="D41" s="22" t="s">
        <v>101</v>
      </c>
      <c r="E41" s="16">
        <v>10</v>
      </c>
      <c r="F41" s="27">
        <v>26</v>
      </c>
    </row>
    <row r="42" spans="1:6" x14ac:dyDescent="0.25">
      <c r="A42" s="5" t="str">
        <f t="shared" si="0"/>
        <v>G.10N.27</v>
      </c>
      <c r="B42" s="20"/>
      <c r="C42" s="5"/>
      <c r="D42" s="22" t="s">
        <v>32</v>
      </c>
      <c r="E42" s="16">
        <v>10</v>
      </c>
      <c r="F42" s="27">
        <v>27</v>
      </c>
    </row>
    <row r="43" spans="1:6" x14ac:dyDescent="0.25">
      <c r="A43" s="5" t="str">
        <f t="shared" si="0"/>
        <v>G.10N.28</v>
      </c>
      <c r="B43" s="20"/>
      <c r="C43" s="5"/>
      <c r="D43" s="22" t="s">
        <v>37</v>
      </c>
      <c r="E43" s="16">
        <v>10</v>
      </c>
      <c r="F43" s="26">
        <v>28</v>
      </c>
    </row>
    <row r="44" spans="1:6" x14ac:dyDescent="0.25">
      <c r="A44" s="5" t="str">
        <f t="shared" si="0"/>
        <v>G.10N.29</v>
      </c>
      <c r="B44" s="20"/>
      <c r="C44" s="5"/>
      <c r="D44" s="22" t="s">
        <v>102</v>
      </c>
      <c r="E44" s="16">
        <v>10</v>
      </c>
      <c r="F44" s="27">
        <v>29</v>
      </c>
    </row>
    <row r="45" spans="1:6" x14ac:dyDescent="0.25">
      <c r="A45" s="5" t="str">
        <f t="shared" si="0"/>
        <v>G.10N.30</v>
      </c>
      <c r="B45" s="20"/>
      <c r="C45" s="5"/>
      <c r="D45" s="22" t="s">
        <v>38</v>
      </c>
      <c r="E45" s="16">
        <v>10</v>
      </c>
      <c r="F45" s="27">
        <v>30</v>
      </c>
    </row>
    <row r="46" spans="1:6" x14ac:dyDescent="0.25">
      <c r="A46" s="5" t="str">
        <f t="shared" si="0"/>
        <v>G.10N.31</v>
      </c>
      <c r="B46" s="20"/>
      <c r="C46" s="5"/>
      <c r="D46" s="22" t="s">
        <v>39</v>
      </c>
      <c r="E46" s="16">
        <v>10</v>
      </c>
      <c r="F46" s="26">
        <v>31</v>
      </c>
    </row>
    <row r="47" spans="1:6" x14ac:dyDescent="0.25">
      <c r="A47" s="5" t="str">
        <f t="shared" si="0"/>
        <v>G.10N.32</v>
      </c>
      <c r="B47" s="20"/>
      <c r="C47" s="5"/>
      <c r="D47" s="22" t="s">
        <v>40</v>
      </c>
      <c r="E47" s="16">
        <v>10</v>
      </c>
      <c r="F47" s="27">
        <v>32</v>
      </c>
    </row>
    <row r="48" spans="1:6" x14ac:dyDescent="0.25">
      <c r="A48" s="5" t="str">
        <f t="shared" si="0"/>
        <v>G.10N.33</v>
      </c>
      <c r="B48" s="20"/>
      <c r="C48" s="5"/>
      <c r="D48" s="22" t="s">
        <v>103</v>
      </c>
      <c r="E48" s="16">
        <v>10</v>
      </c>
      <c r="F48" s="27">
        <v>33</v>
      </c>
    </row>
    <row r="49" spans="1:6" x14ac:dyDescent="0.25">
      <c r="A49" s="5" t="str">
        <f t="shared" si="0"/>
        <v>G.10N.34</v>
      </c>
      <c r="B49" s="20"/>
      <c r="C49" s="5"/>
      <c r="D49" s="22" t="s">
        <v>41</v>
      </c>
      <c r="E49" s="16">
        <v>10</v>
      </c>
      <c r="F49" s="26">
        <v>34</v>
      </c>
    </row>
    <row r="50" spans="1:6" x14ac:dyDescent="0.25">
      <c r="A50" s="5" t="str">
        <f t="shared" si="0"/>
        <v>G.10N.35</v>
      </c>
      <c r="B50" s="20"/>
      <c r="C50" s="5"/>
      <c r="D50" s="22" t="s">
        <v>42</v>
      </c>
      <c r="E50" s="16">
        <v>10</v>
      </c>
      <c r="F50" s="27">
        <v>35</v>
      </c>
    </row>
    <row r="51" spans="1:6" x14ac:dyDescent="0.25">
      <c r="A51" s="5" t="str">
        <f t="shared" si="0"/>
        <v>G.10N.36</v>
      </c>
      <c r="B51" s="20"/>
      <c r="C51" s="5"/>
      <c r="D51" s="22" t="s">
        <v>43</v>
      </c>
      <c r="E51" s="16">
        <v>10</v>
      </c>
      <c r="F51" s="27">
        <v>36</v>
      </c>
    </row>
    <row r="52" spans="1:6" x14ac:dyDescent="0.25">
      <c r="A52" s="5" t="str">
        <f t="shared" si="0"/>
        <v>G.10N.37</v>
      </c>
      <c r="B52" s="20"/>
      <c r="C52" s="5"/>
      <c r="D52" s="22" t="s">
        <v>104</v>
      </c>
      <c r="E52" s="16">
        <v>10</v>
      </c>
      <c r="F52" s="26">
        <v>37</v>
      </c>
    </row>
    <row r="53" spans="1:6" x14ac:dyDescent="0.25">
      <c r="A53" s="5" t="str">
        <f t="shared" si="0"/>
        <v>G.10N.38</v>
      </c>
      <c r="B53" s="20"/>
      <c r="C53" s="5"/>
      <c r="D53" s="22" t="s">
        <v>44</v>
      </c>
      <c r="E53" s="16">
        <v>10</v>
      </c>
      <c r="F53" s="27">
        <v>38</v>
      </c>
    </row>
    <row r="54" spans="1:6" x14ac:dyDescent="0.25">
      <c r="A54" s="5" t="str">
        <f t="shared" si="0"/>
        <v>G.10N.39</v>
      </c>
      <c r="B54" s="20"/>
      <c r="C54" s="5"/>
      <c r="D54" s="22" t="s">
        <v>45</v>
      </c>
      <c r="E54" s="16">
        <v>10</v>
      </c>
      <c r="F54" s="27">
        <v>39</v>
      </c>
    </row>
    <row r="55" spans="1:6" x14ac:dyDescent="0.25">
      <c r="A55" s="5" t="str">
        <f t="shared" si="0"/>
        <v>G.10N.40</v>
      </c>
      <c r="B55" s="20"/>
      <c r="C55" s="5"/>
      <c r="D55" s="22" t="s">
        <v>46</v>
      </c>
      <c r="E55" s="16">
        <v>10</v>
      </c>
      <c r="F55" s="26">
        <v>40</v>
      </c>
    </row>
    <row r="56" spans="1:6" x14ac:dyDescent="0.25">
      <c r="A56" s="5" t="str">
        <f t="shared" si="0"/>
        <v>G.5N.1</v>
      </c>
      <c r="B56" s="20"/>
      <c r="C56" s="5"/>
      <c r="D56" s="22" t="s">
        <v>47</v>
      </c>
      <c r="E56" s="16">
        <v>5</v>
      </c>
      <c r="F56" s="27">
        <v>1</v>
      </c>
    </row>
    <row r="57" spans="1:6" x14ac:dyDescent="0.25">
      <c r="A57" s="5" t="str">
        <f t="shared" si="0"/>
        <v>G.5N.2</v>
      </c>
      <c r="B57" s="20"/>
      <c r="C57" s="5"/>
      <c r="D57" s="22" t="s">
        <v>105</v>
      </c>
      <c r="E57" s="16">
        <v>5</v>
      </c>
      <c r="F57" s="27">
        <v>2</v>
      </c>
    </row>
    <row r="58" spans="1:6" x14ac:dyDescent="0.25">
      <c r="A58" s="5" t="str">
        <f t="shared" si="0"/>
        <v>G.5N.3</v>
      </c>
      <c r="B58" s="20"/>
      <c r="C58" s="5"/>
      <c r="D58" s="22" t="s">
        <v>106</v>
      </c>
      <c r="E58" s="16">
        <v>5</v>
      </c>
      <c r="F58" s="27">
        <v>3</v>
      </c>
    </row>
    <row r="59" spans="1:6" x14ac:dyDescent="0.25">
      <c r="A59" s="5" t="str">
        <f t="shared" si="0"/>
        <v>G.5N.4</v>
      </c>
      <c r="B59" s="20"/>
      <c r="C59" s="5"/>
      <c r="D59" s="22" t="s">
        <v>48</v>
      </c>
      <c r="E59" s="16">
        <v>5</v>
      </c>
      <c r="F59" s="27">
        <v>4</v>
      </c>
    </row>
    <row r="60" spans="1:6" x14ac:dyDescent="0.25">
      <c r="A60" s="5" t="str">
        <f t="shared" si="0"/>
        <v>G.5N.5</v>
      </c>
      <c r="B60" s="20"/>
      <c r="C60" s="5"/>
      <c r="D60" s="22" t="s">
        <v>44</v>
      </c>
      <c r="E60" s="16">
        <v>5</v>
      </c>
      <c r="F60" s="27">
        <v>5</v>
      </c>
    </row>
    <row r="61" spans="1:6" x14ac:dyDescent="0.25">
      <c r="A61" s="5" t="str">
        <f t="shared" si="0"/>
        <v>G.5N.6</v>
      </c>
      <c r="B61" s="20"/>
      <c r="C61" s="5"/>
      <c r="D61" s="22" t="s">
        <v>49</v>
      </c>
      <c r="E61" s="16">
        <v>5</v>
      </c>
      <c r="F61" s="27">
        <v>6</v>
      </c>
    </row>
    <row r="62" spans="1:6" x14ac:dyDescent="0.25">
      <c r="A62" s="5" t="str">
        <f t="shared" si="0"/>
        <v>G.5N.7</v>
      </c>
      <c r="B62" s="20"/>
      <c r="C62" s="5"/>
      <c r="D62" s="22" t="s">
        <v>50</v>
      </c>
      <c r="E62" s="16">
        <v>5</v>
      </c>
      <c r="F62" s="27">
        <v>7</v>
      </c>
    </row>
    <row r="63" spans="1:6" x14ac:dyDescent="0.25">
      <c r="A63" s="5" t="str">
        <f t="shared" si="0"/>
        <v>G.5N.8</v>
      </c>
      <c r="B63" s="20"/>
      <c r="C63" s="5"/>
      <c r="D63" s="22" t="s">
        <v>51</v>
      </c>
      <c r="E63" s="16">
        <v>5</v>
      </c>
      <c r="F63" s="27">
        <v>8</v>
      </c>
    </row>
    <row r="64" spans="1:6" x14ac:dyDescent="0.25">
      <c r="A64" s="5" t="str">
        <f t="shared" si="0"/>
        <v>G.5N.9</v>
      </c>
      <c r="B64" s="20"/>
      <c r="C64" s="5"/>
      <c r="D64" s="22" t="s">
        <v>32</v>
      </c>
      <c r="E64" s="16">
        <v>5</v>
      </c>
      <c r="F64" s="27">
        <v>9</v>
      </c>
    </row>
    <row r="65" spans="1:6" x14ac:dyDescent="0.25">
      <c r="A65" s="5" t="str">
        <f t="shared" si="0"/>
        <v>G.5N.10</v>
      </c>
      <c r="B65" s="20"/>
      <c r="C65" s="5"/>
      <c r="D65" s="22" t="s">
        <v>52</v>
      </c>
      <c r="E65" s="16">
        <v>5</v>
      </c>
      <c r="F65" s="27">
        <v>10</v>
      </c>
    </row>
    <row r="66" spans="1:6" x14ac:dyDescent="0.25">
      <c r="A66" s="5" t="str">
        <f t="shared" si="0"/>
        <v>G.5N.11</v>
      </c>
      <c r="B66" s="20"/>
      <c r="C66" s="5"/>
      <c r="D66" s="22" t="s">
        <v>53</v>
      </c>
      <c r="E66" s="16">
        <v>5</v>
      </c>
      <c r="F66" s="27">
        <v>11</v>
      </c>
    </row>
    <row r="67" spans="1:6" x14ac:dyDescent="0.25">
      <c r="A67" s="5" t="str">
        <f t="shared" ref="A67:A101" si="1">IF(E67&lt;&gt;"","G."&amp;E67&amp;"N."&amp;F67,"")</f>
        <v>G.5N.12</v>
      </c>
      <c r="B67" s="20"/>
      <c r="C67" s="5"/>
      <c r="D67" s="22" t="s">
        <v>54</v>
      </c>
      <c r="E67" s="16">
        <v>5</v>
      </c>
      <c r="F67" s="27">
        <v>12</v>
      </c>
    </row>
    <row r="68" spans="1:6" x14ac:dyDescent="0.25">
      <c r="A68" s="5" t="str">
        <f t="shared" si="1"/>
        <v>G.5N.13</v>
      </c>
      <c r="B68" s="20"/>
      <c r="C68" s="5"/>
      <c r="D68" s="22" t="s">
        <v>55</v>
      </c>
      <c r="E68" s="16">
        <v>5</v>
      </c>
      <c r="F68" s="27">
        <v>13</v>
      </c>
    </row>
    <row r="69" spans="1:6" x14ac:dyDescent="0.25">
      <c r="A69" s="5" t="str">
        <f t="shared" si="1"/>
        <v>G.5N.14</v>
      </c>
      <c r="B69" s="20"/>
      <c r="C69" s="5"/>
      <c r="D69" s="22" t="s">
        <v>90</v>
      </c>
      <c r="E69" s="16">
        <v>5</v>
      </c>
      <c r="F69" s="27">
        <v>14</v>
      </c>
    </row>
    <row r="70" spans="1:6" x14ac:dyDescent="0.25">
      <c r="A70" s="5" t="str">
        <f t="shared" si="1"/>
        <v>G.5N.15</v>
      </c>
      <c r="B70" s="20"/>
      <c r="C70" s="5"/>
      <c r="D70" s="22" t="s">
        <v>56</v>
      </c>
      <c r="E70" s="16">
        <v>5</v>
      </c>
      <c r="F70" s="27">
        <v>15</v>
      </c>
    </row>
    <row r="71" spans="1:6" x14ac:dyDescent="0.25">
      <c r="A71" s="5" t="str">
        <f t="shared" si="1"/>
        <v>G.5N.16</v>
      </c>
      <c r="B71" s="20"/>
      <c r="C71" s="5"/>
      <c r="D71" s="22" t="s">
        <v>28</v>
      </c>
      <c r="E71" s="16">
        <v>5</v>
      </c>
      <c r="F71" s="27">
        <v>16</v>
      </c>
    </row>
    <row r="72" spans="1:6" x14ac:dyDescent="0.25">
      <c r="A72" s="5" t="str">
        <f t="shared" si="1"/>
        <v>G.5N.17</v>
      </c>
      <c r="B72" s="20"/>
      <c r="C72" s="5"/>
      <c r="D72" s="22" t="s">
        <v>32</v>
      </c>
      <c r="E72" s="16">
        <v>5</v>
      </c>
      <c r="F72" s="27">
        <v>17</v>
      </c>
    </row>
    <row r="73" spans="1:6" x14ac:dyDescent="0.25">
      <c r="A73" s="5" t="str">
        <f t="shared" si="1"/>
        <v>G.5N.18</v>
      </c>
      <c r="B73" s="20"/>
      <c r="C73" s="5"/>
      <c r="D73" s="22" t="s">
        <v>57</v>
      </c>
      <c r="E73" s="16">
        <v>5</v>
      </c>
      <c r="F73" s="27">
        <v>18</v>
      </c>
    </row>
    <row r="74" spans="1:6" x14ac:dyDescent="0.25">
      <c r="A74" s="5" t="str">
        <f t="shared" si="1"/>
        <v>G.5N.19</v>
      </c>
      <c r="B74" s="20"/>
      <c r="C74" s="5"/>
      <c r="D74" s="22" t="s">
        <v>32</v>
      </c>
      <c r="E74" s="16">
        <v>5</v>
      </c>
      <c r="F74" s="27">
        <v>19</v>
      </c>
    </row>
    <row r="75" spans="1:6" x14ac:dyDescent="0.25">
      <c r="A75" s="5" t="str">
        <f t="shared" si="1"/>
        <v>G.5N.20</v>
      </c>
      <c r="B75" s="20"/>
      <c r="C75" s="5"/>
      <c r="D75" s="22" t="s">
        <v>58</v>
      </c>
      <c r="E75" s="16">
        <v>5</v>
      </c>
      <c r="F75" s="27">
        <v>20</v>
      </c>
    </row>
    <row r="76" spans="1:6" x14ac:dyDescent="0.25">
      <c r="A76" s="5" t="str">
        <f t="shared" si="1"/>
        <v>G.5N.21</v>
      </c>
      <c r="B76" s="20"/>
      <c r="C76" s="5"/>
      <c r="D76" s="22" t="s">
        <v>85</v>
      </c>
      <c r="E76" s="16">
        <v>5</v>
      </c>
      <c r="F76" s="27">
        <v>21</v>
      </c>
    </row>
    <row r="77" spans="1:6" x14ac:dyDescent="0.25">
      <c r="A77" s="5" t="str">
        <f t="shared" si="1"/>
        <v>G.5N.22</v>
      </c>
      <c r="B77" s="20"/>
      <c r="C77" s="5"/>
      <c r="D77" s="22" t="s">
        <v>59</v>
      </c>
      <c r="E77" s="16">
        <v>5</v>
      </c>
      <c r="F77" s="27">
        <v>22</v>
      </c>
    </row>
    <row r="78" spans="1:6" x14ac:dyDescent="0.25">
      <c r="A78" s="5" t="str">
        <f t="shared" si="1"/>
        <v>G.5N.23</v>
      </c>
      <c r="B78" s="20"/>
      <c r="C78" s="5"/>
      <c r="D78" s="22" t="s">
        <v>60</v>
      </c>
      <c r="E78" s="16">
        <v>5</v>
      </c>
      <c r="F78" s="27">
        <v>23</v>
      </c>
    </row>
    <row r="79" spans="1:6" x14ac:dyDescent="0.25">
      <c r="A79" s="5" t="str">
        <f t="shared" si="1"/>
        <v/>
      </c>
      <c r="B79" s="20"/>
      <c r="C79" s="5"/>
      <c r="D79" s="22" t="s">
        <v>61</v>
      </c>
      <c r="E79" s="16"/>
      <c r="F79" s="27"/>
    </row>
    <row r="80" spans="1:6" x14ac:dyDescent="0.25">
      <c r="A80" s="5" t="str">
        <f t="shared" si="1"/>
        <v/>
      </c>
      <c r="B80" s="20"/>
      <c r="C80" s="5"/>
      <c r="D80" s="22" t="s">
        <v>62</v>
      </c>
      <c r="E80" s="16"/>
      <c r="F80" s="27"/>
    </row>
    <row r="81" spans="1:6" x14ac:dyDescent="0.25">
      <c r="A81" s="5" t="str">
        <f t="shared" si="1"/>
        <v/>
      </c>
      <c r="B81" s="20"/>
      <c r="C81" s="5"/>
      <c r="D81" s="22" t="s">
        <v>82</v>
      </c>
      <c r="E81" s="16"/>
      <c r="F81" s="27"/>
    </row>
    <row r="82" spans="1:6" x14ac:dyDescent="0.25">
      <c r="A82" s="5" t="str">
        <f t="shared" si="1"/>
        <v/>
      </c>
      <c r="B82" s="20"/>
      <c r="C82" s="5"/>
      <c r="D82" s="22" t="s">
        <v>83</v>
      </c>
      <c r="E82" s="16"/>
      <c r="F82" s="27"/>
    </row>
    <row r="83" spans="1:6" x14ac:dyDescent="0.25">
      <c r="A83" s="5" t="str">
        <f t="shared" si="1"/>
        <v/>
      </c>
      <c r="B83" s="20"/>
      <c r="C83" s="5"/>
      <c r="D83" s="22" t="s">
        <v>84</v>
      </c>
      <c r="E83" s="16"/>
      <c r="F83" s="27"/>
    </row>
    <row r="84" spans="1:6" x14ac:dyDescent="0.25">
      <c r="A84" s="5" t="str">
        <f t="shared" si="1"/>
        <v/>
      </c>
      <c r="B84" s="20"/>
      <c r="C84" s="5"/>
      <c r="D84" s="22" t="s">
        <v>77</v>
      </c>
      <c r="E84" s="16"/>
      <c r="F84" s="27"/>
    </row>
    <row r="85" spans="1:6" x14ac:dyDescent="0.25">
      <c r="A85" s="5" t="str">
        <f t="shared" si="1"/>
        <v/>
      </c>
      <c r="B85" s="20"/>
      <c r="C85" s="5"/>
      <c r="D85" s="22" t="s">
        <v>85</v>
      </c>
      <c r="E85" s="16"/>
      <c r="F85" s="27"/>
    </row>
    <row r="86" spans="1:6" x14ac:dyDescent="0.25">
      <c r="A86" s="5" t="str">
        <f t="shared" si="1"/>
        <v/>
      </c>
      <c r="B86" s="20"/>
      <c r="C86" s="5"/>
      <c r="D86" s="22" t="s">
        <v>75</v>
      </c>
      <c r="E86" s="16"/>
      <c r="F86" s="27"/>
    </row>
    <row r="87" spans="1:6" x14ac:dyDescent="0.25">
      <c r="A87" s="5" t="str">
        <f t="shared" si="1"/>
        <v/>
      </c>
      <c r="B87" s="20"/>
      <c r="C87" s="5"/>
      <c r="D87" s="22" t="s">
        <v>76</v>
      </c>
      <c r="E87" s="16"/>
      <c r="F87" s="27"/>
    </row>
    <row r="88" spans="1:6" x14ac:dyDescent="0.25">
      <c r="A88" s="5" t="str">
        <f t="shared" si="1"/>
        <v/>
      </c>
      <c r="B88" s="20"/>
      <c r="C88" s="5"/>
      <c r="D88" s="22" t="s">
        <v>86</v>
      </c>
      <c r="E88" s="16"/>
      <c r="F88" s="27"/>
    </row>
    <row r="89" spans="1:6" x14ac:dyDescent="0.25">
      <c r="A89" s="5" t="str">
        <f t="shared" si="1"/>
        <v/>
      </c>
      <c r="B89" s="20"/>
      <c r="C89" s="5"/>
      <c r="D89" s="22" t="s">
        <v>87</v>
      </c>
      <c r="E89" s="16"/>
      <c r="F89" s="27"/>
    </row>
    <row r="90" spans="1:6" x14ac:dyDescent="0.25">
      <c r="A90" s="5" t="str">
        <f t="shared" si="1"/>
        <v/>
      </c>
      <c r="B90" s="20"/>
      <c r="C90" s="5"/>
      <c r="D90" s="22" t="s">
        <v>77</v>
      </c>
      <c r="E90" s="16"/>
      <c r="F90" s="27"/>
    </row>
    <row r="91" spans="1:6" x14ac:dyDescent="0.25">
      <c r="A91" s="5" t="str">
        <f t="shared" si="1"/>
        <v/>
      </c>
      <c r="B91" s="20"/>
      <c r="C91" s="5"/>
      <c r="D91" s="22" t="s">
        <v>88</v>
      </c>
      <c r="E91" s="16"/>
      <c r="F91" s="27"/>
    </row>
    <row r="92" spans="1:6" x14ac:dyDescent="0.25">
      <c r="A92" s="5" t="str">
        <f t="shared" si="1"/>
        <v/>
      </c>
      <c r="B92" s="20"/>
      <c r="C92" s="5"/>
      <c r="D92" s="22" t="s">
        <v>78</v>
      </c>
      <c r="E92" s="16"/>
      <c r="F92" s="27"/>
    </row>
    <row r="93" spans="1:6" x14ac:dyDescent="0.25">
      <c r="A93" s="5" t="str">
        <f t="shared" si="1"/>
        <v/>
      </c>
      <c r="B93" s="20"/>
      <c r="C93" s="5"/>
      <c r="D93" s="22" t="s">
        <v>89</v>
      </c>
      <c r="E93" s="16"/>
      <c r="F93" s="27"/>
    </row>
    <row r="94" spans="1:6" x14ac:dyDescent="0.25">
      <c r="A94" s="5" t="str">
        <f t="shared" si="1"/>
        <v/>
      </c>
      <c r="B94" s="20"/>
      <c r="C94" s="5"/>
      <c r="D94" s="22" t="s">
        <v>91</v>
      </c>
      <c r="E94" s="16"/>
      <c r="F94" s="27"/>
    </row>
    <row r="95" spans="1:6" x14ac:dyDescent="0.25">
      <c r="A95" s="5" t="str">
        <f t="shared" si="1"/>
        <v/>
      </c>
      <c r="B95" s="20"/>
      <c r="C95" s="5"/>
      <c r="D95" s="22" t="s">
        <v>90</v>
      </c>
      <c r="E95" s="16"/>
      <c r="F95" s="27"/>
    </row>
    <row r="96" spans="1:6" x14ac:dyDescent="0.25">
      <c r="A96" s="5" t="str">
        <f t="shared" si="1"/>
        <v/>
      </c>
      <c r="B96" s="20"/>
      <c r="C96" s="5"/>
      <c r="D96" s="22" t="s">
        <v>79</v>
      </c>
      <c r="E96" s="16"/>
      <c r="F96" s="27"/>
    </row>
    <row r="97" spans="1:6" x14ac:dyDescent="0.25">
      <c r="A97" s="5" t="str">
        <f t="shared" si="1"/>
        <v/>
      </c>
      <c r="B97" s="20"/>
      <c r="C97" s="5"/>
      <c r="D97" s="22" t="s">
        <v>80</v>
      </c>
      <c r="E97" s="16"/>
      <c r="F97" s="27"/>
    </row>
    <row r="98" spans="1:6" x14ac:dyDescent="0.25">
      <c r="A98" s="5" t="str">
        <f t="shared" si="1"/>
        <v/>
      </c>
      <c r="B98" s="20"/>
      <c r="C98" s="5"/>
      <c r="D98" s="22" t="s">
        <v>81</v>
      </c>
      <c r="E98" s="16"/>
      <c r="F98" s="27"/>
    </row>
    <row r="99" spans="1:6" x14ac:dyDescent="0.25">
      <c r="A99" s="5" t="str">
        <f t="shared" si="1"/>
        <v/>
      </c>
      <c r="B99" s="20"/>
      <c r="C99" s="5"/>
      <c r="D99" s="22" t="s">
        <v>42</v>
      </c>
      <c r="E99" s="16"/>
      <c r="F99" s="27"/>
    </row>
    <row r="100" spans="1:6" x14ac:dyDescent="0.25">
      <c r="A100" s="5" t="str">
        <f t="shared" si="1"/>
        <v/>
      </c>
      <c r="B100" s="20"/>
      <c r="C100" s="5"/>
      <c r="D100" s="22" t="s">
        <v>92</v>
      </c>
      <c r="E100" s="16"/>
      <c r="F100" s="27"/>
    </row>
    <row r="101" spans="1:6" x14ac:dyDescent="0.25">
      <c r="A101" s="5" t="str">
        <f t="shared" si="1"/>
        <v/>
      </c>
      <c r="B101" s="20"/>
      <c r="C101" s="5"/>
      <c r="D101" s="22" t="s">
        <v>93</v>
      </c>
      <c r="E101" s="16"/>
      <c r="F101" s="27"/>
    </row>
    <row r="102" spans="1:6" x14ac:dyDescent="0.25">
      <c r="A102" s="5" t="str">
        <f t="shared" ref="A102" si="2">IF(E102&lt;&gt;"","G."&amp;E102&amp;"N."&amp;F102,"")</f>
        <v/>
      </c>
      <c r="B102" s="20"/>
      <c r="C102" s="5"/>
      <c r="D102" s="22"/>
      <c r="E102" s="16"/>
      <c r="F102" s="27"/>
    </row>
    <row r="103" spans="1:6" x14ac:dyDescent="0.25">
      <c r="A103" s="5" t="str">
        <f t="shared" ref="A103:A124" si="3">IF(E103&lt;&gt;"","G."&amp;E103&amp;"N."&amp;F103,"")</f>
        <v/>
      </c>
      <c r="B103" s="20"/>
      <c r="C103" s="5"/>
      <c r="D103" s="22"/>
      <c r="E103" s="16"/>
      <c r="F103" s="27"/>
    </row>
    <row r="104" spans="1:6" x14ac:dyDescent="0.25">
      <c r="A104" s="5" t="str">
        <f t="shared" si="3"/>
        <v/>
      </c>
      <c r="B104" s="20"/>
      <c r="C104" s="5"/>
      <c r="D104" s="22"/>
      <c r="E104" s="16"/>
      <c r="F104" s="27"/>
    </row>
    <row r="105" spans="1:6" x14ac:dyDescent="0.25">
      <c r="A105" s="5" t="str">
        <f t="shared" si="3"/>
        <v/>
      </c>
      <c r="B105" s="20"/>
      <c r="C105" s="5"/>
      <c r="D105" s="22"/>
      <c r="E105" s="16"/>
      <c r="F105" s="27"/>
    </row>
    <row r="106" spans="1:6" x14ac:dyDescent="0.25">
      <c r="A106" s="5" t="str">
        <f t="shared" si="3"/>
        <v/>
      </c>
      <c r="B106" s="20"/>
      <c r="C106" s="5"/>
      <c r="D106" s="22"/>
      <c r="E106" s="16"/>
      <c r="F106" s="27"/>
    </row>
    <row r="107" spans="1:6" x14ac:dyDescent="0.25">
      <c r="A107" s="5" t="str">
        <f t="shared" si="3"/>
        <v/>
      </c>
      <c r="B107" s="20"/>
      <c r="C107" s="5"/>
      <c r="D107" s="22"/>
      <c r="E107" s="16"/>
      <c r="F107" s="27"/>
    </row>
    <row r="108" spans="1:6" x14ac:dyDescent="0.25">
      <c r="A108" s="5" t="str">
        <f t="shared" si="3"/>
        <v/>
      </c>
      <c r="B108" s="20"/>
      <c r="C108" s="5"/>
      <c r="D108" s="22"/>
      <c r="E108" s="16"/>
      <c r="F108" s="27"/>
    </row>
    <row r="109" spans="1:6" x14ac:dyDescent="0.25">
      <c r="A109" s="5" t="str">
        <f t="shared" si="3"/>
        <v/>
      </c>
      <c r="B109" s="20"/>
      <c r="C109" s="5"/>
      <c r="D109" s="22"/>
      <c r="E109" s="16"/>
      <c r="F109" s="27"/>
    </row>
    <row r="110" spans="1:6" x14ac:dyDescent="0.25">
      <c r="A110" s="5" t="str">
        <f t="shared" si="3"/>
        <v/>
      </c>
      <c r="B110" s="20"/>
      <c r="C110" s="5"/>
      <c r="D110" s="22"/>
      <c r="E110" s="16"/>
      <c r="F110" s="27"/>
    </row>
    <row r="111" spans="1:6" x14ac:dyDescent="0.25">
      <c r="A111" s="5" t="str">
        <f t="shared" si="3"/>
        <v/>
      </c>
      <c r="B111" s="20"/>
      <c r="C111" s="5"/>
      <c r="D111" s="22"/>
      <c r="E111" s="16"/>
      <c r="F111" s="27"/>
    </row>
    <row r="112" spans="1:6" x14ac:dyDescent="0.25">
      <c r="A112" s="5" t="str">
        <f t="shared" si="3"/>
        <v/>
      </c>
      <c r="B112" s="20"/>
      <c r="C112" s="5"/>
      <c r="D112" s="22"/>
      <c r="E112" s="16"/>
      <c r="F112" s="27"/>
    </row>
    <row r="113" spans="1:6" x14ac:dyDescent="0.25">
      <c r="A113" s="5" t="str">
        <f t="shared" si="3"/>
        <v/>
      </c>
      <c r="B113" s="20"/>
      <c r="C113" s="5"/>
      <c r="D113" s="22"/>
      <c r="E113" s="16"/>
      <c r="F113" s="27"/>
    </row>
    <row r="114" spans="1:6" x14ac:dyDescent="0.25">
      <c r="A114" s="5" t="str">
        <f t="shared" si="3"/>
        <v/>
      </c>
      <c r="B114" s="20"/>
      <c r="C114" s="5"/>
      <c r="D114" s="22"/>
      <c r="E114" s="16"/>
      <c r="F114" s="27"/>
    </row>
    <row r="115" spans="1:6" x14ac:dyDescent="0.25">
      <c r="A115" s="5" t="str">
        <f t="shared" si="3"/>
        <v/>
      </c>
      <c r="B115" s="20"/>
      <c r="C115" s="5"/>
      <c r="D115" s="22"/>
      <c r="E115" s="16"/>
      <c r="F115" s="27"/>
    </row>
    <row r="116" spans="1:6" x14ac:dyDescent="0.25">
      <c r="A116" s="5" t="str">
        <f t="shared" si="3"/>
        <v/>
      </c>
      <c r="B116" s="20"/>
      <c r="C116" s="5"/>
      <c r="D116" s="22"/>
      <c r="E116" s="16"/>
      <c r="F116" s="27"/>
    </row>
    <row r="117" spans="1:6" x14ac:dyDescent="0.25">
      <c r="A117" s="5" t="str">
        <f t="shared" si="3"/>
        <v/>
      </c>
      <c r="B117" s="20"/>
      <c r="C117" s="5"/>
      <c r="D117" s="22"/>
      <c r="E117" s="16"/>
      <c r="F117" s="27"/>
    </row>
    <row r="118" spans="1:6" x14ac:dyDescent="0.25">
      <c r="A118" s="5" t="str">
        <f t="shared" si="3"/>
        <v/>
      </c>
      <c r="B118" s="20"/>
      <c r="C118" s="5"/>
      <c r="D118" s="22"/>
      <c r="E118" s="16"/>
      <c r="F118" s="27"/>
    </row>
    <row r="119" spans="1:6" x14ac:dyDescent="0.25">
      <c r="A119" s="5" t="str">
        <f t="shared" si="3"/>
        <v/>
      </c>
      <c r="B119" s="20"/>
      <c r="C119" s="5"/>
      <c r="D119" s="22"/>
      <c r="E119" s="16"/>
      <c r="F119" s="27"/>
    </row>
    <row r="120" spans="1:6" x14ac:dyDescent="0.25">
      <c r="A120" s="5" t="str">
        <f t="shared" si="3"/>
        <v/>
      </c>
      <c r="B120" s="20"/>
      <c r="C120" s="5"/>
      <c r="D120" s="22"/>
      <c r="E120" s="16"/>
      <c r="F120" s="27"/>
    </row>
    <row r="121" spans="1:6" x14ac:dyDescent="0.25">
      <c r="A121" s="5" t="str">
        <f t="shared" si="3"/>
        <v/>
      </c>
      <c r="B121" s="20"/>
      <c r="C121" s="5"/>
      <c r="D121" s="22"/>
      <c r="E121" s="16"/>
      <c r="F121" s="27"/>
    </row>
    <row r="122" spans="1:6" x14ac:dyDescent="0.25">
      <c r="A122" s="5" t="str">
        <f t="shared" si="3"/>
        <v/>
      </c>
      <c r="B122" s="20"/>
      <c r="C122" s="5"/>
      <c r="D122" s="22"/>
      <c r="E122" s="16"/>
      <c r="F122" s="27"/>
    </row>
    <row r="123" spans="1:6" x14ac:dyDescent="0.25">
      <c r="A123" s="5" t="str">
        <f t="shared" si="3"/>
        <v/>
      </c>
      <c r="B123" s="20"/>
      <c r="C123" s="5"/>
      <c r="D123" s="22"/>
      <c r="E123" s="16"/>
      <c r="F123" s="27"/>
    </row>
    <row r="124" spans="1:6" x14ac:dyDescent="0.25">
      <c r="A124" s="5" t="str">
        <f t="shared" si="3"/>
        <v/>
      </c>
      <c r="B124" s="20"/>
      <c r="C124" s="5"/>
      <c r="D124" s="24"/>
      <c r="E124" s="25"/>
      <c r="F124" s="28"/>
    </row>
  </sheetData>
  <conditionalFormatting sqref="A1:A1048576">
    <cfRule type="duplicateValues" dxfId="1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uzenleAdSoyad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8</xdr:col>
                    <xdr:colOff>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J21"/>
  <sheetViews>
    <sheetView workbookViewId="0">
      <selection activeCell="A17" sqref="A17"/>
    </sheetView>
  </sheetViews>
  <sheetFormatPr defaultRowHeight="15" x14ac:dyDescent="0.25"/>
  <cols>
    <col min="1" max="1" width="37.7109375" customWidth="1"/>
    <col min="2" max="2" width="11.140625" style="1" customWidth="1"/>
    <col min="3" max="3" width="12" style="1" customWidth="1"/>
    <col min="5" max="9" width="5.7109375" style="1" customWidth="1"/>
  </cols>
  <sheetData>
    <row r="1" spans="1:10" x14ac:dyDescent="0.25">
      <c r="A1" s="2" t="s">
        <v>2</v>
      </c>
      <c r="B1" s="3" t="s">
        <v>19</v>
      </c>
      <c r="C1" s="3" t="s">
        <v>20</v>
      </c>
      <c r="F1" s="43" t="s">
        <v>107</v>
      </c>
      <c r="G1" s="43"/>
      <c r="H1" s="43"/>
      <c r="I1" s="43"/>
      <c r="J1" s="43"/>
    </row>
    <row r="2" spans="1:10" x14ac:dyDescent="0.25">
      <c r="A2" s="15" t="s">
        <v>3</v>
      </c>
      <c r="B2" s="17">
        <v>5</v>
      </c>
      <c r="C2" s="17">
        <v>792</v>
      </c>
      <c r="F2" s="18">
        <v>20</v>
      </c>
      <c r="G2" s="18">
        <v>15</v>
      </c>
      <c r="H2" s="18">
        <v>10</v>
      </c>
      <c r="I2" s="18">
        <v>8</v>
      </c>
      <c r="J2" s="18">
        <v>5</v>
      </c>
    </row>
    <row r="3" spans="1:10" x14ac:dyDescent="0.25">
      <c r="A3" s="15" t="s">
        <v>4</v>
      </c>
      <c r="B3" s="17">
        <v>5</v>
      </c>
      <c r="C3" s="17">
        <v>764</v>
      </c>
      <c r="F3" s="44" t="s">
        <v>108</v>
      </c>
      <c r="G3" s="44"/>
      <c r="H3" s="44"/>
      <c r="I3" s="44"/>
      <c r="J3" s="44"/>
    </row>
    <row r="4" spans="1:10" x14ac:dyDescent="0.25">
      <c r="A4" s="15" t="s">
        <v>5</v>
      </c>
      <c r="B4" s="17">
        <v>5</v>
      </c>
      <c r="C4" s="17">
        <v>524</v>
      </c>
      <c r="F4" s="4">
        <f>COUNTIF(AdiSoyadi!$E$2:$E$157,F2)</f>
        <v>9</v>
      </c>
      <c r="G4" s="4">
        <f>COUNTIF(AdiSoyadi!$E$2:$E$157,G2)</f>
        <v>5</v>
      </c>
      <c r="H4" s="4">
        <f>COUNTIF(AdiSoyadi!$E$2:$E$157,H2)</f>
        <v>40</v>
      </c>
      <c r="I4" s="4">
        <f>COUNTIF(AdiSoyadi!$E$2:$E$157,I2)</f>
        <v>0</v>
      </c>
      <c r="J4" s="4">
        <f>COUNTIF(AdiSoyadi!$E$2:$E$157,J2)</f>
        <v>23</v>
      </c>
    </row>
    <row r="5" spans="1:10" x14ac:dyDescent="0.25">
      <c r="A5" s="15" t="s">
        <v>6</v>
      </c>
      <c r="B5" s="17">
        <v>5</v>
      </c>
      <c r="C5" s="17">
        <v>450</v>
      </c>
    </row>
    <row r="6" spans="1:10" x14ac:dyDescent="0.25">
      <c r="A6" s="15" t="s">
        <v>7</v>
      </c>
      <c r="B6" s="17">
        <v>5</v>
      </c>
      <c r="C6" s="17">
        <v>269</v>
      </c>
    </row>
    <row r="7" spans="1:10" x14ac:dyDescent="0.25">
      <c r="A7" s="15" t="s">
        <v>8</v>
      </c>
      <c r="B7" s="17">
        <v>5</v>
      </c>
      <c r="C7" s="17">
        <v>271</v>
      </c>
    </row>
    <row r="8" spans="1:10" x14ac:dyDescent="0.25">
      <c r="A8" s="15" t="s">
        <v>9</v>
      </c>
      <c r="B8" s="17">
        <v>5</v>
      </c>
      <c r="C8" s="17">
        <v>230</v>
      </c>
    </row>
    <row r="9" spans="1:10" x14ac:dyDescent="0.25">
      <c r="A9" s="15" t="s">
        <v>10</v>
      </c>
      <c r="B9" s="17">
        <v>5</v>
      </c>
      <c r="C9" s="17">
        <v>740</v>
      </c>
    </row>
    <row r="10" spans="1:10" x14ac:dyDescent="0.25">
      <c r="A10" s="15" t="s">
        <v>11</v>
      </c>
      <c r="B10" s="17">
        <v>5</v>
      </c>
      <c r="C10" s="17">
        <v>384</v>
      </c>
    </row>
    <row r="11" spans="1:10" x14ac:dyDescent="0.25">
      <c r="A11" s="15" t="s">
        <v>12</v>
      </c>
      <c r="B11" s="17">
        <v>5</v>
      </c>
      <c r="C11" s="17">
        <v>268</v>
      </c>
    </row>
    <row r="12" spans="1:10" x14ac:dyDescent="0.25">
      <c r="A12" s="15" t="s">
        <v>13</v>
      </c>
      <c r="B12" s="17">
        <v>5</v>
      </c>
      <c r="C12" s="17">
        <v>288</v>
      </c>
    </row>
    <row r="13" spans="1:10" x14ac:dyDescent="0.25">
      <c r="A13" s="15" t="s">
        <v>14</v>
      </c>
      <c r="B13" s="17">
        <v>5</v>
      </c>
      <c r="C13" s="17">
        <v>247</v>
      </c>
    </row>
    <row r="14" spans="1:10" x14ac:dyDescent="0.25">
      <c r="A14" s="15" t="s">
        <v>15</v>
      </c>
      <c r="B14" s="17">
        <v>5</v>
      </c>
      <c r="C14" s="17">
        <v>270</v>
      </c>
    </row>
    <row r="15" spans="1:10" x14ac:dyDescent="0.25">
      <c r="A15" s="15" t="s">
        <v>16</v>
      </c>
      <c r="B15" s="17">
        <v>5</v>
      </c>
      <c r="C15" s="17">
        <v>268</v>
      </c>
    </row>
    <row r="16" spans="1:10" x14ac:dyDescent="0.25">
      <c r="A16" s="15" t="s">
        <v>17</v>
      </c>
      <c r="B16" s="17">
        <v>5</v>
      </c>
      <c r="C16" s="17">
        <v>172</v>
      </c>
    </row>
    <row r="17" spans="1:3" x14ac:dyDescent="0.25">
      <c r="A17" s="15"/>
      <c r="B17" s="17"/>
      <c r="C17" s="17"/>
    </row>
    <row r="18" spans="1:3" x14ac:dyDescent="0.25">
      <c r="A18" s="15"/>
      <c r="B18" s="17"/>
      <c r="C18" s="17"/>
    </row>
    <row r="19" spans="1:3" x14ac:dyDescent="0.25">
      <c r="A19" s="15"/>
      <c r="B19" s="17"/>
      <c r="C19" s="17"/>
    </row>
    <row r="20" spans="1:3" x14ac:dyDescent="0.25">
      <c r="A20" s="15"/>
      <c r="B20" s="17"/>
      <c r="C20" s="17"/>
    </row>
    <row r="21" spans="1:3" x14ac:dyDescent="0.25">
      <c r="A21" s="15"/>
      <c r="B21" s="17"/>
      <c r="C21" s="17"/>
    </row>
  </sheetData>
  <mergeCells count="2">
    <mergeCell ref="F1:J1"/>
    <mergeCell ref="F3:J3"/>
  </mergeCells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6</vt:i4>
      </vt:variant>
    </vt:vector>
  </HeadingPairs>
  <TitlesOfParts>
    <vt:vector size="10" baseType="lpstr">
      <vt:lpstr>Program1</vt:lpstr>
      <vt:lpstr>Program2</vt:lpstr>
      <vt:lpstr>AdiSoyadi</vt:lpstr>
      <vt:lpstr>Kitaplar</vt:lpstr>
      <vt:lpstr>GunlukSayfa</vt:lpstr>
      <vt:lpstr>GunSayfa2</vt:lpstr>
      <vt:lpstr>Program1!Yazdırma_Alanı</vt:lpstr>
      <vt:lpstr>Program2!Yazdırma_Alanı</vt:lpstr>
      <vt:lpstr>Program1!Yazdırma_Başlıkları</vt:lpstr>
      <vt:lpstr>Program2!Yazdırma_Başlıkları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Mehmet ŞEN</dc:creator>
  <cp:lastModifiedBy>Mehmet SEN</cp:lastModifiedBy>
  <cp:lastPrinted>2021-12-06T07:50:36Z</cp:lastPrinted>
  <dcterms:created xsi:type="dcterms:W3CDTF">2021-12-03T13:11:03Z</dcterms:created>
  <dcterms:modified xsi:type="dcterms:W3CDTF">2021-12-08T11:03:03Z</dcterms:modified>
</cp:coreProperties>
</file>